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03f23a1743c5d8/Documents/"/>
    </mc:Choice>
  </mc:AlternateContent>
  <xr:revisionPtr revIDLastSave="1" documentId="8_{0A872569-A989-45A8-882B-6E9B19B8F28B}" xr6:coauthVersionLast="47" xr6:coauthVersionMax="47" xr10:uidLastSave="{A4B8D781-212D-4301-AF8C-321C67544A7F}"/>
  <bookViews>
    <workbookView xWindow="-108" yWindow="-108" windowWidth="23256" windowHeight="12456" xr2:uid="{1FF4897A-C41B-43DB-BEA1-5E55D510EFBD}"/>
  </bookViews>
  <sheets>
    <sheet name="NEDL_Functional_for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1" l="1"/>
  <c r="K27" i="1"/>
  <c r="K26" i="1"/>
  <c r="K25" i="1"/>
  <c r="L20" i="1"/>
  <c r="M20" i="1"/>
  <c r="N20" i="1"/>
  <c r="O20" i="1"/>
  <c r="P20" i="1"/>
  <c r="Q20" i="1"/>
  <c r="R20" i="1"/>
  <c r="K20" i="1"/>
  <c r="L19" i="1"/>
  <c r="M19" i="1"/>
  <c r="N19" i="1"/>
  <c r="O19" i="1"/>
  <c r="P19" i="1"/>
  <c r="Q19" i="1"/>
  <c r="R19" i="1"/>
  <c r="K19" i="1"/>
  <c r="Q13" i="1" a="1"/>
  <c r="Q13" i="1" s="1"/>
  <c r="O13" i="1" a="1"/>
  <c r="O13" i="1" s="1"/>
  <c r="M13" i="1" a="1"/>
  <c r="M13" i="1" s="1"/>
  <c r="K13" i="1" a="1"/>
  <c r="K13" i="1" s="1"/>
  <c r="E4" i="1"/>
  <c r="G4" i="1" s="1"/>
  <c r="F4" i="1"/>
  <c r="H4" i="1" s="1"/>
  <c r="E5" i="1"/>
  <c r="G5" i="1" s="1"/>
  <c r="F5" i="1"/>
  <c r="H5" i="1" s="1"/>
  <c r="E6" i="1"/>
  <c r="G6" i="1" s="1"/>
  <c r="F6" i="1"/>
  <c r="H6" i="1" s="1"/>
  <c r="E7" i="1"/>
  <c r="G7" i="1" s="1"/>
  <c r="F7" i="1"/>
  <c r="H7" i="1" s="1"/>
  <c r="E8" i="1"/>
  <c r="G8" i="1" s="1"/>
  <c r="F8" i="1"/>
  <c r="H8" i="1" s="1"/>
  <c r="E9" i="1"/>
  <c r="G9" i="1" s="1"/>
  <c r="F9" i="1"/>
  <c r="H9" i="1" s="1"/>
  <c r="E10" i="1"/>
  <c r="G10" i="1" s="1"/>
  <c r="F10" i="1"/>
  <c r="H10" i="1" s="1"/>
  <c r="E11" i="1"/>
  <c r="G11" i="1" s="1"/>
  <c r="F11" i="1"/>
  <c r="H11" i="1" s="1"/>
  <c r="E12" i="1"/>
  <c r="G12" i="1" s="1"/>
  <c r="F12" i="1"/>
  <c r="H12" i="1" s="1"/>
  <c r="E13" i="1"/>
  <c r="G13" i="1" s="1"/>
  <c r="F13" i="1"/>
  <c r="H13" i="1" s="1"/>
  <c r="E14" i="1"/>
  <c r="G14" i="1" s="1"/>
  <c r="F14" i="1"/>
  <c r="H14" i="1" s="1"/>
  <c r="E15" i="1"/>
  <c r="G15" i="1" s="1"/>
  <c r="F15" i="1"/>
  <c r="H15" i="1" s="1"/>
  <c r="E16" i="1"/>
  <c r="G16" i="1" s="1"/>
  <c r="F16" i="1"/>
  <c r="H16" i="1" s="1"/>
  <c r="E17" i="1"/>
  <c r="G17" i="1" s="1"/>
  <c r="F17" i="1"/>
  <c r="H17" i="1" s="1"/>
  <c r="E18" i="1"/>
  <c r="G18" i="1" s="1"/>
  <c r="F18" i="1"/>
  <c r="H18" i="1" s="1"/>
  <c r="E19" i="1"/>
  <c r="G19" i="1" s="1"/>
  <c r="F19" i="1"/>
  <c r="H19" i="1" s="1"/>
  <c r="E20" i="1"/>
  <c r="G20" i="1" s="1"/>
  <c r="F20" i="1"/>
  <c r="H20" i="1" s="1"/>
  <c r="E21" i="1"/>
  <c r="G21" i="1" s="1"/>
  <c r="F21" i="1"/>
  <c r="H21" i="1" s="1"/>
  <c r="E22" i="1"/>
  <c r="G22" i="1" s="1"/>
  <c r="F22" i="1"/>
  <c r="H22" i="1" s="1"/>
  <c r="E23" i="1"/>
  <c r="G23" i="1" s="1"/>
  <c r="F23" i="1"/>
  <c r="H23" i="1" s="1"/>
  <c r="E24" i="1"/>
  <c r="G24" i="1" s="1"/>
  <c r="F24" i="1"/>
  <c r="H24" i="1" s="1"/>
  <c r="E25" i="1"/>
  <c r="G25" i="1" s="1"/>
  <c r="F25" i="1"/>
  <c r="H25" i="1" s="1"/>
  <c r="E26" i="1"/>
  <c r="G26" i="1" s="1"/>
  <c r="F26" i="1"/>
  <c r="H26" i="1" s="1"/>
  <c r="E27" i="1"/>
  <c r="G27" i="1" s="1"/>
  <c r="F27" i="1"/>
  <c r="H27" i="1" s="1"/>
  <c r="E28" i="1"/>
  <c r="G28" i="1" s="1"/>
  <c r="F28" i="1"/>
  <c r="H28" i="1" s="1"/>
  <c r="E29" i="1"/>
  <c r="G29" i="1" s="1"/>
  <c r="F29" i="1"/>
  <c r="H29" i="1" s="1"/>
  <c r="E30" i="1"/>
  <c r="G30" i="1" s="1"/>
  <c r="F30" i="1"/>
  <c r="H30" i="1" s="1"/>
  <c r="E31" i="1"/>
  <c r="G31" i="1" s="1"/>
  <c r="F31" i="1"/>
  <c r="H31" i="1" s="1"/>
  <c r="E32" i="1"/>
  <c r="G32" i="1" s="1"/>
  <c r="F32" i="1"/>
  <c r="H32" i="1" s="1"/>
  <c r="E33" i="1"/>
  <c r="G33" i="1" s="1"/>
  <c r="F33" i="1"/>
  <c r="H33" i="1" s="1"/>
  <c r="E34" i="1"/>
  <c r="G34" i="1" s="1"/>
  <c r="F34" i="1"/>
  <c r="H34" i="1" s="1"/>
  <c r="E35" i="1"/>
  <c r="G35" i="1" s="1"/>
  <c r="F35" i="1"/>
  <c r="H35" i="1" s="1"/>
  <c r="E36" i="1"/>
  <c r="G36" i="1" s="1"/>
  <c r="F36" i="1"/>
  <c r="H36" i="1" s="1"/>
  <c r="E37" i="1"/>
  <c r="G37" i="1" s="1"/>
  <c r="F37" i="1"/>
  <c r="H37" i="1" s="1"/>
  <c r="E38" i="1"/>
  <c r="G38" i="1" s="1"/>
  <c r="F38" i="1"/>
  <c r="H38" i="1" s="1"/>
  <c r="E39" i="1"/>
  <c r="G39" i="1" s="1"/>
  <c r="F39" i="1"/>
  <c r="H39" i="1" s="1"/>
  <c r="E40" i="1"/>
  <c r="G40" i="1" s="1"/>
  <c r="F40" i="1"/>
  <c r="H40" i="1" s="1"/>
  <c r="E41" i="1"/>
  <c r="G41" i="1" s="1"/>
  <c r="F41" i="1"/>
  <c r="H41" i="1" s="1"/>
  <c r="E42" i="1"/>
  <c r="G42" i="1" s="1"/>
  <c r="F42" i="1"/>
  <c r="H42" i="1" s="1"/>
  <c r="E43" i="1"/>
  <c r="G43" i="1" s="1"/>
  <c r="F43" i="1"/>
  <c r="H43" i="1" s="1"/>
  <c r="E44" i="1"/>
  <c r="G44" i="1" s="1"/>
  <c r="F44" i="1"/>
  <c r="H44" i="1" s="1"/>
  <c r="E45" i="1"/>
  <c r="G45" i="1" s="1"/>
  <c r="F45" i="1"/>
  <c r="H45" i="1" s="1"/>
  <c r="E46" i="1"/>
  <c r="G46" i="1" s="1"/>
  <c r="F46" i="1"/>
  <c r="H46" i="1" s="1"/>
  <c r="E47" i="1"/>
  <c r="G47" i="1" s="1"/>
  <c r="F47" i="1"/>
  <c r="H47" i="1" s="1"/>
  <c r="E48" i="1"/>
  <c r="G48" i="1" s="1"/>
  <c r="F48" i="1"/>
  <c r="H48" i="1" s="1"/>
  <c r="E49" i="1"/>
  <c r="G49" i="1" s="1"/>
  <c r="F49" i="1"/>
  <c r="H49" i="1" s="1"/>
  <c r="E50" i="1"/>
  <c r="G50" i="1" s="1"/>
  <c r="F50" i="1"/>
  <c r="H50" i="1" s="1"/>
  <c r="E51" i="1"/>
  <c r="G51" i="1" s="1"/>
  <c r="F51" i="1"/>
  <c r="H51" i="1" s="1"/>
  <c r="E52" i="1"/>
  <c r="G52" i="1" s="1"/>
  <c r="F52" i="1"/>
  <c r="H52" i="1" s="1"/>
  <c r="E53" i="1"/>
  <c r="G53" i="1" s="1"/>
  <c r="F53" i="1"/>
  <c r="H53" i="1" s="1"/>
  <c r="E54" i="1"/>
  <c r="G54" i="1" s="1"/>
  <c r="F54" i="1"/>
  <c r="H54" i="1" s="1"/>
  <c r="E55" i="1"/>
  <c r="G55" i="1" s="1"/>
  <c r="F55" i="1"/>
  <c r="H55" i="1" s="1"/>
  <c r="E56" i="1"/>
  <c r="G56" i="1" s="1"/>
  <c r="F56" i="1"/>
  <c r="H56" i="1" s="1"/>
  <c r="E57" i="1"/>
  <c r="G57" i="1" s="1"/>
  <c r="F57" i="1"/>
  <c r="H57" i="1" s="1"/>
  <c r="E58" i="1"/>
  <c r="G58" i="1" s="1"/>
  <c r="F58" i="1"/>
  <c r="H58" i="1" s="1"/>
  <c r="E59" i="1"/>
  <c r="G59" i="1" s="1"/>
  <c r="F59" i="1"/>
  <c r="H59" i="1" s="1"/>
  <c r="E60" i="1"/>
  <c r="G60" i="1" s="1"/>
  <c r="F60" i="1"/>
  <c r="H60" i="1" s="1"/>
  <c r="E61" i="1"/>
  <c r="G61" i="1" s="1"/>
  <c r="F61" i="1"/>
  <c r="H61" i="1" s="1"/>
  <c r="E62" i="1"/>
  <c r="G62" i="1" s="1"/>
  <c r="F62" i="1"/>
  <c r="H62" i="1" s="1"/>
  <c r="E63" i="1"/>
  <c r="G63" i="1" s="1"/>
  <c r="F63" i="1"/>
  <c r="H63" i="1" s="1"/>
  <c r="E64" i="1"/>
  <c r="G64" i="1" s="1"/>
  <c r="F64" i="1"/>
  <c r="H64" i="1" s="1"/>
  <c r="E65" i="1"/>
  <c r="G65" i="1" s="1"/>
  <c r="F65" i="1"/>
  <c r="H65" i="1" s="1"/>
  <c r="E66" i="1"/>
  <c r="G66" i="1" s="1"/>
  <c r="F66" i="1"/>
  <c r="H66" i="1" s="1"/>
  <c r="E67" i="1"/>
  <c r="G67" i="1" s="1"/>
  <c r="F67" i="1"/>
  <c r="H67" i="1" s="1"/>
  <c r="E68" i="1"/>
  <c r="G68" i="1" s="1"/>
  <c r="F68" i="1"/>
  <c r="H68" i="1" s="1"/>
  <c r="E69" i="1"/>
  <c r="G69" i="1" s="1"/>
  <c r="F69" i="1"/>
  <c r="H69" i="1" s="1"/>
  <c r="E70" i="1"/>
  <c r="G70" i="1" s="1"/>
  <c r="F70" i="1"/>
  <c r="H70" i="1" s="1"/>
  <c r="E71" i="1"/>
  <c r="G71" i="1" s="1"/>
  <c r="F71" i="1"/>
  <c r="H71" i="1" s="1"/>
  <c r="E72" i="1"/>
  <c r="G72" i="1" s="1"/>
  <c r="F72" i="1"/>
  <c r="H72" i="1" s="1"/>
  <c r="E73" i="1"/>
  <c r="G73" i="1" s="1"/>
  <c r="F73" i="1"/>
  <c r="H73" i="1" s="1"/>
  <c r="E74" i="1"/>
  <c r="G74" i="1" s="1"/>
  <c r="F74" i="1"/>
  <c r="H74" i="1" s="1"/>
  <c r="E75" i="1"/>
  <c r="G75" i="1" s="1"/>
  <c r="F75" i="1"/>
  <c r="H75" i="1" s="1"/>
  <c r="E76" i="1"/>
  <c r="G76" i="1" s="1"/>
  <c r="F76" i="1"/>
  <c r="H76" i="1" s="1"/>
  <c r="E77" i="1"/>
  <c r="G77" i="1" s="1"/>
  <c r="F77" i="1"/>
  <c r="H77" i="1" s="1"/>
  <c r="E78" i="1"/>
  <c r="G78" i="1" s="1"/>
  <c r="F78" i="1"/>
  <c r="H78" i="1" s="1"/>
  <c r="E79" i="1"/>
  <c r="G79" i="1" s="1"/>
  <c r="F79" i="1"/>
  <c r="H79" i="1" s="1"/>
  <c r="E80" i="1"/>
  <c r="G80" i="1" s="1"/>
  <c r="F80" i="1"/>
  <c r="H80" i="1" s="1"/>
  <c r="E81" i="1"/>
  <c r="G81" i="1" s="1"/>
  <c r="F81" i="1"/>
  <c r="H81" i="1" s="1"/>
  <c r="E82" i="1"/>
  <c r="G82" i="1" s="1"/>
  <c r="F82" i="1"/>
  <c r="H82" i="1" s="1"/>
  <c r="E83" i="1"/>
  <c r="G83" i="1" s="1"/>
  <c r="F83" i="1"/>
  <c r="H83" i="1" s="1"/>
  <c r="E84" i="1"/>
  <c r="G84" i="1" s="1"/>
  <c r="F84" i="1"/>
  <c r="H84" i="1" s="1"/>
  <c r="E85" i="1"/>
  <c r="G85" i="1" s="1"/>
  <c r="F85" i="1"/>
  <c r="H85" i="1" s="1"/>
  <c r="E86" i="1"/>
  <c r="G86" i="1" s="1"/>
  <c r="F86" i="1"/>
  <c r="H86" i="1" s="1"/>
  <c r="E87" i="1"/>
  <c r="G87" i="1" s="1"/>
  <c r="F87" i="1"/>
  <c r="H87" i="1" s="1"/>
  <c r="E88" i="1"/>
  <c r="G88" i="1" s="1"/>
  <c r="F88" i="1"/>
  <c r="H88" i="1" s="1"/>
  <c r="E89" i="1"/>
  <c r="G89" i="1" s="1"/>
  <c r="F89" i="1"/>
  <c r="H89" i="1" s="1"/>
  <c r="E90" i="1"/>
  <c r="G90" i="1" s="1"/>
  <c r="F90" i="1"/>
  <c r="H90" i="1" s="1"/>
  <c r="E91" i="1"/>
  <c r="G91" i="1" s="1"/>
  <c r="F91" i="1"/>
  <c r="H91" i="1" s="1"/>
  <c r="E92" i="1"/>
  <c r="G92" i="1" s="1"/>
  <c r="F92" i="1"/>
  <c r="H92" i="1" s="1"/>
  <c r="E93" i="1"/>
  <c r="G93" i="1" s="1"/>
  <c r="F93" i="1"/>
  <c r="H93" i="1" s="1"/>
  <c r="E94" i="1"/>
  <c r="G94" i="1" s="1"/>
  <c r="F94" i="1"/>
  <c r="H94" i="1" s="1"/>
  <c r="E95" i="1"/>
  <c r="G95" i="1" s="1"/>
  <c r="F95" i="1"/>
  <c r="H95" i="1" s="1"/>
  <c r="E96" i="1"/>
  <c r="G96" i="1" s="1"/>
  <c r="F96" i="1"/>
  <c r="H96" i="1" s="1"/>
  <c r="E97" i="1"/>
  <c r="G97" i="1" s="1"/>
  <c r="F97" i="1"/>
  <c r="H97" i="1" s="1"/>
  <c r="E98" i="1"/>
  <c r="G98" i="1" s="1"/>
  <c r="F98" i="1"/>
  <c r="H98" i="1" s="1"/>
  <c r="E99" i="1"/>
  <c r="G99" i="1" s="1"/>
  <c r="F99" i="1"/>
  <c r="H99" i="1" s="1"/>
  <c r="E100" i="1"/>
  <c r="G100" i="1" s="1"/>
  <c r="F100" i="1"/>
  <c r="H100" i="1" s="1"/>
  <c r="E101" i="1"/>
  <c r="G101" i="1" s="1"/>
  <c r="F101" i="1"/>
  <c r="H101" i="1" s="1"/>
  <c r="E102" i="1"/>
  <c r="G102" i="1" s="1"/>
  <c r="F102" i="1"/>
  <c r="H102" i="1" s="1"/>
  <c r="E103" i="1"/>
  <c r="G103" i="1" s="1"/>
  <c r="F103" i="1"/>
  <c r="H103" i="1" s="1"/>
  <c r="E104" i="1"/>
  <c r="G104" i="1" s="1"/>
  <c r="F104" i="1"/>
  <c r="H104" i="1" s="1"/>
  <c r="E105" i="1"/>
  <c r="G105" i="1" s="1"/>
  <c r="F105" i="1"/>
  <c r="H105" i="1" s="1"/>
  <c r="E106" i="1"/>
  <c r="G106" i="1" s="1"/>
  <c r="F106" i="1"/>
  <c r="H106" i="1" s="1"/>
  <c r="E107" i="1"/>
  <c r="G107" i="1" s="1"/>
  <c r="F107" i="1"/>
  <c r="H107" i="1" s="1"/>
  <c r="E108" i="1"/>
  <c r="G108" i="1" s="1"/>
  <c r="F108" i="1"/>
  <c r="H108" i="1" s="1"/>
  <c r="E109" i="1"/>
  <c r="G109" i="1" s="1"/>
  <c r="F109" i="1"/>
  <c r="H109" i="1" s="1"/>
  <c r="E110" i="1"/>
  <c r="G110" i="1" s="1"/>
  <c r="F110" i="1"/>
  <c r="H110" i="1" s="1"/>
  <c r="E111" i="1"/>
  <c r="G111" i="1" s="1"/>
  <c r="F111" i="1"/>
  <c r="H111" i="1" s="1"/>
  <c r="E112" i="1"/>
  <c r="G112" i="1" s="1"/>
  <c r="F112" i="1"/>
  <c r="H112" i="1" s="1"/>
  <c r="E113" i="1"/>
  <c r="G113" i="1" s="1"/>
  <c r="F113" i="1"/>
  <c r="H113" i="1" s="1"/>
  <c r="E114" i="1"/>
  <c r="G114" i="1" s="1"/>
  <c r="F114" i="1"/>
  <c r="H114" i="1" s="1"/>
  <c r="E115" i="1"/>
  <c r="G115" i="1" s="1"/>
  <c r="F115" i="1"/>
  <c r="H115" i="1" s="1"/>
  <c r="E116" i="1"/>
  <c r="G116" i="1" s="1"/>
  <c r="F116" i="1"/>
  <c r="H116" i="1" s="1"/>
  <c r="E117" i="1"/>
  <c r="G117" i="1" s="1"/>
  <c r="F117" i="1"/>
  <c r="H117" i="1" s="1"/>
  <c r="E118" i="1"/>
  <c r="G118" i="1" s="1"/>
  <c r="F118" i="1"/>
  <c r="H118" i="1" s="1"/>
  <c r="E119" i="1"/>
  <c r="G119" i="1" s="1"/>
  <c r="F119" i="1"/>
  <c r="H119" i="1" s="1"/>
  <c r="E120" i="1"/>
  <c r="G120" i="1" s="1"/>
  <c r="F120" i="1"/>
  <c r="H120" i="1" s="1"/>
  <c r="E121" i="1"/>
  <c r="G121" i="1" s="1"/>
  <c r="F121" i="1"/>
  <c r="H121" i="1" s="1"/>
  <c r="E122" i="1"/>
  <c r="G122" i="1" s="1"/>
  <c r="F122" i="1"/>
  <c r="H122" i="1" s="1"/>
  <c r="E123" i="1"/>
  <c r="G123" i="1" s="1"/>
  <c r="F123" i="1"/>
  <c r="H123" i="1" s="1"/>
  <c r="E124" i="1"/>
  <c r="G124" i="1" s="1"/>
  <c r="F124" i="1"/>
  <c r="H124" i="1" s="1"/>
  <c r="E125" i="1"/>
  <c r="G125" i="1" s="1"/>
  <c r="F125" i="1"/>
  <c r="H125" i="1" s="1"/>
  <c r="E126" i="1"/>
  <c r="G126" i="1" s="1"/>
  <c r="F126" i="1"/>
  <c r="H126" i="1" s="1"/>
  <c r="E127" i="1"/>
  <c r="G127" i="1" s="1"/>
  <c r="F127" i="1"/>
  <c r="H127" i="1" s="1"/>
  <c r="E128" i="1"/>
  <c r="G128" i="1" s="1"/>
  <c r="F128" i="1"/>
  <c r="H128" i="1" s="1"/>
  <c r="E129" i="1"/>
  <c r="G129" i="1" s="1"/>
  <c r="F129" i="1"/>
  <c r="H129" i="1" s="1"/>
  <c r="E130" i="1"/>
  <c r="G130" i="1" s="1"/>
  <c r="F130" i="1"/>
  <c r="H130" i="1" s="1"/>
  <c r="E131" i="1"/>
  <c r="G131" i="1" s="1"/>
  <c r="F131" i="1"/>
  <c r="H131" i="1" s="1"/>
  <c r="E132" i="1"/>
  <c r="G132" i="1" s="1"/>
  <c r="F132" i="1"/>
  <c r="H132" i="1" s="1"/>
  <c r="E133" i="1"/>
  <c r="G133" i="1" s="1"/>
  <c r="F133" i="1"/>
  <c r="H133" i="1" s="1"/>
  <c r="E134" i="1"/>
  <c r="G134" i="1" s="1"/>
  <c r="F134" i="1"/>
  <c r="H134" i="1" s="1"/>
  <c r="E135" i="1"/>
  <c r="G135" i="1" s="1"/>
  <c r="F135" i="1"/>
  <c r="H135" i="1" s="1"/>
  <c r="E136" i="1"/>
  <c r="G136" i="1" s="1"/>
  <c r="F136" i="1"/>
  <c r="H136" i="1" s="1"/>
  <c r="E137" i="1"/>
  <c r="G137" i="1" s="1"/>
  <c r="F137" i="1"/>
  <c r="H137" i="1" s="1"/>
  <c r="E138" i="1"/>
  <c r="G138" i="1" s="1"/>
  <c r="F138" i="1"/>
  <c r="H138" i="1" s="1"/>
  <c r="E139" i="1"/>
  <c r="G139" i="1" s="1"/>
  <c r="F139" i="1"/>
  <c r="H139" i="1" s="1"/>
  <c r="E140" i="1"/>
  <c r="G140" i="1" s="1"/>
  <c r="F140" i="1"/>
  <c r="H140" i="1" s="1"/>
  <c r="E141" i="1"/>
  <c r="G141" i="1" s="1"/>
  <c r="F141" i="1"/>
  <c r="H141" i="1" s="1"/>
  <c r="E142" i="1"/>
  <c r="G142" i="1" s="1"/>
  <c r="F142" i="1"/>
  <c r="H142" i="1" s="1"/>
  <c r="E143" i="1"/>
  <c r="G143" i="1" s="1"/>
  <c r="F143" i="1"/>
  <c r="H143" i="1" s="1"/>
  <c r="E144" i="1"/>
  <c r="G144" i="1" s="1"/>
  <c r="F144" i="1"/>
  <c r="H144" i="1" s="1"/>
  <c r="E145" i="1"/>
  <c r="G145" i="1" s="1"/>
  <c r="F145" i="1"/>
  <c r="H145" i="1" s="1"/>
  <c r="E146" i="1"/>
  <c r="G146" i="1" s="1"/>
  <c r="F146" i="1"/>
  <c r="H146" i="1" s="1"/>
  <c r="E147" i="1"/>
  <c r="G147" i="1" s="1"/>
  <c r="F147" i="1"/>
  <c r="H147" i="1" s="1"/>
  <c r="E148" i="1"/>
  <c r="G148" i="1" s="1"/>
  <c r="F148" i="1"/>
  <c r="H148" i="1" s="1"/>
  <c r="E149" i="1"/>
  <c r="G149" i="1" s="1"/>
  <c r="F149" i="1"/>
  <c r="H149" i="1" s="1"/>
  <c r="E150" i="1"/>
  <c r="G150" i="1" s="1"/>
  <c r="F150" i="1"/>
  <c r="H150" i="1" s="1"/>
  <c r="E151" i="1"/>
  <c r="G151" i="1" s="1"/>
  <c r="F151" i="1"/>
  <c r="H151" i="1" s="1"/>
  <c r="E152" i="1"/>
  <c r="G152" i="1" s="1"/>
  <c r="F152" i="1"/>
  <c r="H152" i="1" s="1"/>
  <c r="E153" i="1"/>
  <c r="G153" i="1" s="1"/>
  <c r="F153" i="1"/>
  <c r="H153" i="1" s="1"/>
  <c r="E154" i="1"/>
  <c r="G154" i="1" s="1"/>
  <c r="F154" i="1"/>
  <c r="H154" i="1" s="1"/>
  <c r="E155" i="1"/>
  <c r="G155" i="1" s="1"/>
  <c r="F155" i="1"/>
  <c r="H155" i="1" s="1"/>
  <c r="E156" i="1"/>
  <c r="G156" i="1" s="1"/>
  <c r="F156" i="1"/>
  <c r="H156" i="1" s="1"/>
  <c r="E157" i="1"/>
  <c r="G157" i="1" s="1"/>
  <c r="F157" i="1"/>
  <c r="H157" i="1" s="1"/>
  <c r="E158" i="1"/>
  <c r="G158" i="1" s="1"/>
  <c r="F158" i="1"/>
  <c r="H158" i="1" s="1"/>
  <c r="E159" i="1"/>
  <c r="G159" i="1" s="1"/>
  <c r="F159" i="1"/>
  <c r="H159" i="1" s="1"/>
  <c r="E160" i="1"/>
  <c r="G160" i="1" s="1"/>
  <c r="F160" i="1"/>
  <c r="H160" i="1" s="1"/>
  <c r="E161" i="1"/>
  <c r="G161" i="1" s="1"/>
  <c r="F161" i="1"/>
  <c r="H161" i="1" s="1"/>
  <c r="E162" i="1"/>
  <c r="G162" i="1" s="1"/>
  <c r="F162" i="1"/>
  <c r="H162" i="1" s="1"/>
  <c r="E163" i="1"/>
  <c r="G163" i="1" s="1"/>
  <c r="F163" i="1"/>
  <c r="H163" i="1" s="1"/>
  <c r="E164" i="1"/>
  <c r="G164" i="1" s="1"/>
  <c r="F164" i="1"/>
  <c r="H164" i="1" s="1"/>
  <c r="E165" i="1"/>
  <c r="G165" i="1" s="1"/>
  <c r="F165" i="1"/>
  <c r="H165" i="1" s="1"/>
  <c r="E166" i="1"/>
  <c r="G166" i="1" s="1"/>
  <c r="F166" i="1"/>
  <c r="H166" i="1" s="1"/>
  <c r="E167" i="1"/>
  <c r="G167" i="1" s="1"/>
  <c r="F167" i="1"/>
  <c r="H167" i="1" s="1"/>
  <c r="E168" i="1"/>
  <c r="G168" i="1" s="1"/>
  <c r="F168" i="1"/>
  <c r="H168" i="1" s="1"/>
  <c r="E169" i="1"/>
  <c r="G169" i="1" s="1"/>
  <c r="F169" i="1"/>
  <c r="H169" i="1" s="1"/>
  <c r="E170" i="1"/>
  <c r="G170" i="1" s="1"/>
  <c r="F170" i="1"/>
  <c r="H170" i="1" s="1"/>
  <c r="E171" i="1"/>
  <c r="G171" i="1" s="1"/>
  <c r="F171" i="1"/>
  <c r="H171" i="1" s="1"/>
  <c r="E172" i="1"/>
  <c r="G172" i="1" s="1"/>
  <c r="F172" i="1"/>
  <c r="H172" i="1" s="1"/>
  <c r="E173" i="1"/>
  <c r="G173" i="1" s="1"/>
  <c r="F173" i="1"/>
  <c r="H173" i="1" s="1"/>
  <c r="E174" i="1"/>
  <c r="G174" i="1" s="1"/>
  <c r="F174" i="1"/>
  <c r="H174" i="1" s="1"/>
  <c r="E175" i="1"/>
  <c r="G175" i="1" s="1"/>
  <c r="F175" i="1"/>
  <c r="H175" i="1" s="1"/>
  <c r="E176" i="1"/>
  <c r="G176" i="1" s="1"/>
  <c r="F176" i="1"/>
  <c r="H176" i="1" s="1"/>
  <c r="E177" i="1"/>
  <c r="G177" i="1" s="1"/>
  <c r="F177" i="1"/>
  <c r="H177" i="1" s="1"/>
  <c r="E178" i="1"/>
  <c r="G178" i="1" s="1"/>
  <c r="F178" i="1"/>
  <c r="H178" i="1" s="1"/>
  <c r="E179" i="1"/>
  <c r="G179" i="1" s="1"/>
  <c r="F179" i="1"/>
  <c r="H179" i="1" s="1"/>
  <c r="E180" i="1"/>
  <c r="G180" i="1" s="1"/>
  <c r="F180" i="1"/>
  <c r="H180" i="1" s="1"/>
  <c r="E181" i="1"/>
  <c r="G181" i="1" s="1"/>
  <c r="F181" i="1"/>
  <c r="H181" i="1" s="1"/>
  <c r="E182" i="1"/>
  <c r="G182" i="1" s="1"/>
  <c r="F182" i="1"/>
  <c r="H182" i="1" s="1"/>
  <c r="F3" i="1"/>
  <c r="H3" i="1" s="1"/>
  <c r="E3" i="1"/>
  <c r="G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<sst xmlns="http://schemas.openxmlformats.org/spreadsheetml/2006/main" count="212" uniqueCount="207">
  <si>
    <t>Country</t>
  </si>
  <si>
    <t>Data (2019, in mln)</t>
  </si>
  <si>
    <t>Real GDP</t>
  </si>
  <si>
    <t>Population</t>
  </si>
  <si>
    <t>Capital stock</t>
  </si>
  <si>
    <t>Aruba</t>
  </si>
  <si>
    <t>Angola</t>
  </si>
  <si>
    <t>Anguilla</t>
  </si>
  <si>
    <t>Albania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</si>
  <si>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</si>
  <si>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</si>
  <si>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</si>
  <si>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</si>
  <si>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</si>
  <si>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</si>
  <si>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</si>
  <si>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</si>
  <si>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</si>
  <si>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</si>
  <si>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</si>
  <si>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</si>
  <si>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</si>
  <si>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</si>
  <si>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</si>
  <si>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</si>
  <si>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</si>
  <si>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</si>
  <si>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Bermuda</t>
  </si>
  <si>
    <t>Bolivia (Plurinational State of)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</si>
  <si>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</si>
  <si>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</si>
  <si>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</si>
  <si>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</si>
  <si>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</si>
  <si>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</si>
  <si>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</si>
  <si>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</si>
  <si>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</si>
  <si>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</si>
  <si>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Côte d'Ivoire</t>
  </si>
  <si>
    <t>Cameroon</t>
  </si>
  <si>
    <t>D.R. of the Congo</t>
  </si>
  <si>
    <t>Congo</t>
  </si>
  <si>
    <t>Colombia</t>
  </si>
  <si>
    <t>Comoros</t>
  </si>
  <si>
    <t>Cabo Verde</t>
  </si>
  <si>
    <t>Costa Rica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</si>
  <si>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</si>
  <si>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</si>
  <si>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</si>
  <si>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</si>
  <si>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</si>
  <si>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</si>
  <si>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</si>
  <si>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</si>
  <si>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</si>
  <si>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</si>
  <si>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</si>
  <si>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Spain</t>
  </si>
  <si>
    <t>Estonia</t>
  </si>
  <si>
    <t>Ethiopia</t>
  </si>
  <si>
    <t>Finland</t>
  </si>
  <si>
    <t>Fiji</t>
  </si>
  <si>
    <t>France</t>
  </si>
  <si>
    <t>Gabon</t>
  </si>
  <si>
    <t>United Kingdom</t>
  </si>
  <si>
    <t>Georgia</t>
  </si>
  <si>
    <t>Ghana</t>
  </si>
  <si>
    <t>Guinea</t>
  </si>
  <si>
    <t>Gambia</t>
  </si>
  <si>
    <t>Guinea-Bissau</t>
  </si>
  <si>
    <t>Equatorial Guinea</t>
  </si>
  <si>
    <t>Greece</t>
  </si>
  <si>
    <t>Grenada</t>
  </si>
  <si>
    <t>Guatemala</t>
  </si>
  <si>
    <t>China, Hong Kong SAR</t>
  </si>
  <si>
    <t>Honduras</t>
  </si>
  <si>
    <t>Croatia</t>
  </si>
  <si>
    <t>Haiti</t>
  </si>
  <si>
    <t>Hungary</t>
  </si>
  <si>
    <t>Indonesia</t>
  </si>
  <si>
    <t>India</t>
  </si>
  <si>
    <t>Ireland</t>
  </si>
  <si>
    <t>Iran (Islamic Republic of)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</si>
  <si>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</si>
  <si>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</si>
  <si>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</si>
  <si>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</si>
  <si>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</si>
  <si>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</si>
  <si>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</si>
  <si>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</si>
  <si>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</si>
  <si>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</si>
  <si>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</si>
  <si>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Saint Kitts and Nevis</t>
  </si>
  <si>
    <t>Republic of Korea</t>
  </si>
  <si>
    <t>Kuwait</t>
  </si>
  <si>
    <t>Lao People's DR</t>
  </si>
  <si>
    <t>Lebanon</t>
  </si>
  <si>
    <t>Liberia</t>
  </si>
  <si>
    <t>Saint Lucia</t>
  </si>
  <si>
    <t>Sri Lanka</t>
  </si>
  <si>
    <t>Lesotho</t>
  </si>
  <si>
    <t>Lithuania</t>
  </si>
  <si>
    <t>Luxembourg</t>
  </si>
  <si>
    <t>Latvia</t>
  </si>
  <si>
    <t>China, Macao SAR</t>
  </si>
  <si>
    <t>Morocco</t>
  </si>
  <si>
    <t>Republic of Moldova</t>
  </si>
  <si>
    <t>Madagascar</t>
  </si>
  <si>
    <t>Maldives</t>
  </si>
  <si>
    <t>Mexico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</si>
  <si>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</si>
  <si>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</si>
  <si>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</si>
  <si>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</si>
  <si>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</si>
  <si>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</si>
  <si>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</si>
  <si>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</si>
  <si>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Montserrat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</si>
  <si>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</si>
  <si>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</si>
  <si>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</si>
  <si>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</si>
  <si>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</si>
  <si>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</si>
  <si>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</si>
  <si>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</si>
  <si>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</si>
  <si>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</si>
  <si>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</si>
  <si>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</si>
  <si>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</si>
  <si>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</si>
  <si>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</si>
  <si>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</si>
  <si>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</si>
  <si>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</si>
  <si>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</si>
  <si>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State of Palestine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</si>
  <si>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</si>
  <si>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</si>
  <si>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</si>
  <si>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</si>
  <si>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</si>
  <si>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</si>
  <si>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</si>
  <si>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</si>
  <si>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Sierra Leone</t>
  </si>
  <si>
    <t>El Salvador</t>
  </si>
  <si>
    <t>Serbia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</si>
  <si>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</si>
  <si>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</si>
  <si>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</si>
  <si>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</si>
  <si>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</si>
  <si>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</si>
  <si>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</si>
  <si>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</si>
  <si>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</si>
  <si>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</si>
  <si>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</si>
  <si>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</si>
  <si>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</si>
  <si>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</si>
  <si>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Trinidad and Tobago</t>
  </si>
  <si>
    <t>Tunisia</t>
  </si>
  <si>
    <t>Turkey</t>
  </si>
  <si>
    <t>Taiwan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</si>
  <si>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</si>
  <si>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</si>
  <si>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</si>
  <si>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</si>
  <si>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</si>
  <si>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</si>
  <si>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</si>
  <si>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</t>
  </si>
  <si>
    <t>British Virgin Islands</t>
  </si>
  <si>
    <t>Viet Nam</t>
  </si>
  <si>
    <t>Yemen</t>
  </si>
  <si>
    <t>South Africa</t>
  </si>
  <si>
    <t>Zambia</t>
  </si>
  <si>
    <t>Zimbabwe</t>
  </si>
  <si>
    <t>GDP per capita</t>
  </si>
  <si>
    <t>Capital per worker</t>
  </si>
  <si>
    <t>Log GDP per capita</t>
  </si>
  <si>
    <t>Log Capital per worker</t>
  </si>
  <si>
    <t>Linear (lin-lin form)</t>
  </si>
  <si>
    <t>Exponential (log-lin form)</t>
  </si>
  <si>
    <t>Logarithmic (lin-log form)</t>
  </si>
  <si>
    <t>Power law (log-log form)</t>
  </si>
  <si>
    <t>unit change in X - unit change in Y</t>
  </si>
  <si>
    <t>relative change in X - unit change in Y</t>
  </si>
  <si>
    <t>relative change in X - relative change in Y</t>
  </si>
  <si>
    <t>unit change in X - relative change in Y</t>
  </si>
  <si>
    <t>Coefficient</t>
  </si>
  <si>
    <t>Standard error</t>
  </si>
  <si>
    <t>R-squared</t>
  </si>
  <si>
    <t>Linear</t>
  </si>
  <si>
    <t>Exponential</t>
  </si>
  <si>
    <t>Logarithmic</t>
  </si>
  <si>
    <t>Power law</t>
  </si>
  <si>
    <t>T-stat</t>
  </si>
  <si>
    <t>p-value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</si>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</sst>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8" formatCode="0.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68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2.6436570428696411E-2"/>
                  <c:y val="0.2154272382618839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NEDL_Functional_forms!$F$3:$F$182</c:f>
              <c:numCache>
                <c:formatCode>0</c:formatCode>
                <c:ptCount val="180"/>
                <c:pt idx="0">
                  <c:v>173619.0597545949</c:v>
                </c:pt>
                <c:pt idx="1">
                  <c:v>43089.038923284141</c:v>
                </c:pt>
                <c:pt idx="2">
                  <c:v>160450.76546106834</c:v>
                </c:pt>
                <c:pt idx="3">
                  <c:v>79772.636195350307</c:v>
                </c:pt>
                <c:pt idx="4">
                  <c:v>461628.99675135297</c:v>
                </c:pt>
                <c:pt idx="5">
                  <c:v>75363.281131279015</c:v>
                </c:pt>
                <c:pt idx="6">
                  <c:v>33453.306880341719</c:v>
                </c:pt>
                <c:pt idx="7">
                  <c:v>113014.39920380362</c:v>
                </c:pt>
                <c:pt idx="8">
                  <c:v>234061.308410147</c:v>
                </c:pt>
                <c:pt idx="9">
                  <c:v>321097.40346899454</c:v>
                </c:pt>
                <c:pt idx="10">
                  <c:v>27233.923289845516</c:v>
                </c:pt>
                <c:pt idx="11">
                  <c:v>1631.0182087544601</c:v>
                </c:pt>
                <c:pt idx="12">
                  <c:v>302979.14661928324</c:v>
                </c:pt>
                <c:pt idx="13">
                  <c:v>7457.4882833462607</c:v>
                </c:pt>
                <c:pt idx="14">
                  <c:v>4250.4553271436616</c:v>
                </c:pt>
                <c:pt idx="15">
                  <c:v>17438.659595303201</c:v>
                </c:pt>
                <c:pt idx="16">
                  <c:v>65467.337948112028</c:v>
                </c:pt>
                <c:pt idx="17">
                  <c:v>261216.77450626751</c:v>
                </c:pt>
                <c:pt idx="18">
                  <c:v>196738.47250964103</c:v>
                </c:pt>
                <c:pt idx="19">
                  <c:v>41895.642418963951</c:v>
                </c:pt>
                <c:pt idx="20">
                  <c:v>69434.474178069489</c:v>
                </c:pt>
                <c:pt idx="21">
                  <c:v>25505.652596015658</c:v>
                </c:pt>
                <c:pt idx="22">
                  <c:v>181335.23244268552</c:v>
                </c:pt>
                <c:pt idx="23">
                  <c:v>18725.237446908304</c:v>
                </c:pt>
                <c:pt idx="24">
                  <c:v>64806.077485309885</c:v>
                </c:pt>
                <c:pt idx="25">
                  <c:v>118067.10543506664</c:v>
                </c:pt>
                <c:pt idx="26">
                  <c:v>461958.67760250182</c:v>
                </c:pt>
                <c:pt idx="27">
                  <c:v>80206.503811139424</c:v>
                </c:pt>
                <c:pt idx="28">
                  <c:v>80902.410614329914</c:v>
                </c:pt>
                <c:pt idx="29">
                  <c:v>6706.2606127316421</c:v>
                </c:pt>
                <c:pt idx="30">
                  <c:v>233115.90290429458</c:v>
                </c:pt>
                <c:pt idx="31">
                  <c:v>375454.22060406004</c:v>
                </c:pt>
                <c:pt idx="32">
                  <c:v>109528.86702738778</c:v>
                </c:pt>
                <c:pt idx="33">
                  <c:v>56911.441242329769</c:v>
                </c:pt>
                <c:pt idx="34">
                  <c:v>9923.9162200410756</c:v>
                </c:pt>
                <c:pt idx="35">
                  <c:v>9657.705333010259</c:v>
                </c:pt>
                <c:pt idx="36">
                  <c:v>3118.0905149519303</c:v>
                </c:pt>
                <c:pt idx="37">
                  <c:v>26282.860396267417</c:v>
                </c:pt>
                <c:pt idx="38">
                  <c:v>43595.491312845879</c:v>
                </c:pt>
                <c:pt idx="39">
                  <c:v>15179.005784117968</c:v>
                </c:pt>
                <c:pt idx="40">
                  <c:v>34826.98168306255</c:v>
                </c:pt>
                <c:pt idx="41">
                  <c:v>46776.016550369575</c:v>
                </c:pt>
                <c:pt idx="42">
                  <c:v>247220.10180259595</c:v>
                </c:pt>
                <c:pt idx="43">
                  <c:v>246639.40926545349</c:v>
                </c:pt>
                <c:pt idx="44">
                  <c:v>222217.6121731739</c:v>
                </c:pt>
                <c:pt idx="45">
                  <c:v>250342.3822047344</c:v>
                </c:pt>
                <c:pt idx="46">
                  <c:v>11480.050102844201</c:v>
                </c:pt>
                <c:pt idx="47">
                  <c:v>39286.281973282923</c:v>
                </c:pt>
                <c:pt idx="48">
                  <c:v>276319.17248395499</c:v>
                </c:pt>
                <c:pt idx="49">
                  <c:v>72127.016420028827</c:v>
                </c:pt>
                <c:pt idx="50">
                  <c:v>57776.516852904329</c:v>
                </c:pt>
                <c:pt idx="51">
                  <c:v>66934.492566967179</c:v>
                </c:pt>
                <c:pt idx="52">
                  <c:v>18151.064369967538</c:v>
                </c:pt>
                <c:pt idx="53">
                  <c:v>253066.64285101736</c:v>
                </c:pt>
                <c:pt idx="54">
                  <c:v>165537.22688828409</c:v>
                </c:pt>
                <c:pt idx="55">
                  <c:v>5788.3423777196622</c:v>
                </c:pt>
                <c:pt idx="56">
                  <c:v>231590.83456793337</c:v>
                </c:pt>
                <c:pt idx="57">
                  <c:v>32099.735446001083</c:v>
                </c:pt>
                <c:pt idx="58">
                  <c:v>267066.38408640004</c:v>
                </c:pt>
                <c:pt idx="59">
                  <c:v>59113.212914236952</c:v>
                </c:pt>
                <c:pt idx="60">
                  <c:v>226605.02034557238</c:v>
                </c:pt>
                <c:pt idx="61">
                  <c:v>74389.170053780996</c:v>
                </c:pt>
                <c:pt idx="62">
                  <c:v>13847.849968452741</c:v>
                </c:pt>
                <c:pt idx="63">
                  <c:v>4451.9962314170443</c:v>
                </c:pt>
                <c:pt idx="64">
                  <c:v>5115.1811198889463</c:v>
                </c:pt>
                <c:pt idx="65">
                  <c:v>3254.110312570604</c:v>
                </c:pt>
                <c:pt idx="66">
                  <c:v>85583.128024551886</c:v>
                </c:pt>
                <c:pt idx="67">
                  <c:v>244976.5860453881</c:v>
                </c:pt>
                <c:pt idx="68">
                  <c:v>59854.022464800051</c:v>
                </c:pt>
                <c:pt idx="69">
                  <c:v>25643.403535835911</c:v>
                </c:pt>
                <c:pt idx="70">
                  <c:v>345095.1257867979</c:v>
                </c:pt>
                <c:pt idx="71">
                  <c:v>24197.42684445508</c:v>
                </c:pt>
                <c:pt idx="72">
                  <c:v>145844.78830129697</c:v>
                </c:pt>
                <c:pt idx="73">
                  <c:v>13846.307829556703</c:v>
                </c:pt>
                <c:pt idx="74">
                  <c:v>147450.36980575195</c:v>
                </c:pt>
                <c:pt idx="75">
                  <c:v>67154.955587936172</c:v>
                </c:pt>
                <c:pt idx="76">
                  <c:v>25851.631315967228</c:v>
                </c:pt>
                <c:pt idx="77">
                  <c:v>382714.03759758075</c:v>
                </c:pt>
                <c:pt idx="78">
                  <c:v>82308.087138000716</c:v>
                </c:pt>
                <c:pt idx="79">
                  <c:v>28799.783758663845</c:v>
                </c:pt>
                <c:pt idx="80">
                  <c:v>276405.40245582262</c:v>
                </c:pt>
                <c:pt idx="81">
                  <c:v>143939.17829907045</c:v>
                </c:pt>
                <c:pt idx="82">
                  <c:v>311408.69767708791</c:v>
                </c:pt>
                <c:pt idx="83">
                  <c:v>51615.949084194544</c:v>
                </c:pt>
                <c:pt idx="84">
                  <c:v>35686.461968655953</c:v>
                </c:pt>
                <c:pt idx="85">
                  <c:v>205760.80770926125</c:v>
                </c:pt>
                <c:pt idx="86">
                  <c:v>61914.307185102254</c:v>
                </c:pt>
                <c:pt idx="87">
                  <c:v>10277.800623894262</c:v>
                </c:pt>
                <c:pt idx="88">
                  <c:v>13657.20856355744</c:v>
                </c:pt>
                <c:pt idx="89">
                  <c:v>12763.256767246885</c:v>
                </c:pt>
                <c:pt idx="90">
                  <c:v>214166.33290659374</c:v>
                </c:pt>
                <c:pt idx="91">
                  <c:v>217949.02628989561</c:v>
                </c:pt>
                <c:pt idx="92">
                  <c:v>229910.47181622041</c:v>
                </c:pt>
                <c:pt idx="93">
                  <c:v>26688.707073968664</c:v>
                </c:pt>
                <c:pt idx="94">
                  <c:v>85100.466574373815</c:v>
                </c:pt>
                <c:pt idx="95">
                  <c:v>5063.4698000647713</c:v>
                </c:pt>
                <c:pt idx="96">
                  <c:v>64277.221940136231</c:v>
                </c:pt>
                <c:pt idx="97">
                  <c:v>38838.430048809932</c:v>
                </c:pt>
                <c:pt idx="98">
                  <c:v>13163.842564502454</c:v>
                </c:pt>
                <c:pt idx="99">
                  <c:v>137413.33973758048</c:v>
                </c:pt>
                <c:pt idx="100">
                  <c:v>448033.49972146837</c:v>
                </c:pt>
                <c:pt idx="101">
                  <c:v>241607.46558398276</c:v>
                </c:pt>
                <c:pt idx="102">
                  <c:v>337273.44853968726</c:v>
                </c:pt>
                <c:pt idx="103">
                  <c:v>41995.85164075809</c:v>
                </c:pt>
                <c:pt idx="104">
                  <c:v>28714.553613628403</c:v>
                </c:pt>
                <c:pt idx="105">
                  <c:v>3775.5845353200962</c:v>
                </c:pt>
                <c:pt idx="106">
                  <c:v>112401.98638109211</c:v>
                </c:pt>
                <c:pt idx="107">
                  <c:v>85702.721248367321</c:v>
                </c:pt>
                <c:pt idx="108">
                  <c:v>66433.617724178883</c:v>
                </c:pt>
                <c:pt idx="109">
                  <c:v>3686.4418160699825</c:v>
                </c:pt>
                <c:pt idx="110">
                  <c:v>141790.47416161792</c:v>
                </c:pt>
                <c:pt idx="111">
                  <c:v>15236.178893604676</c:v>
                </c:pt>
                <c:pt idx="112">
                  <c:v>75227.615927957115</c:v>
                </c:pt>
                <c:pt idx="113">
                  <c:v>54044.885505153688</c:v>
                </c:pt>
                <c:pt idx="114">
                  <c:v>3830.0137672727519</c:v>
                </c:pt>
                <c:pt idx="115">
                  <c:v>21571.650940540418</c:v>
                </c:pt>
                <c:pt idx="116">
                  <c:v>240268.99706698488</c:v>
                </c:pt>
                <c:pt idx="117">
                  <c:v>76689.585387676154</c:v>
                </c:pt>
                <c:pt idx="118">
                  <c:v>1305.1862465575382</c:v>
                </c:pt>
                <c:pt idx="119">
                  <c:v>112623.5247275748</c:v>
                </c:pt>
                <c:pt idx="120">
                  <c:v>32005.205514666093</c:v>
                </c:pt>
                <c:pt idx="121">
                  <c:v>5582.8456999281234</c:v>
                </c:pt>
                <c:pt idx="122">
                  <c:v>15942.308785980689</c:v>
                </c:pt>
                <c:pt idx="123">
                  <c:v>20560.436006283398</c:v>
                </c:pt>
                <c:pt idx="124">
                  <c:v>277549.68231510202</c:v>
                </c:pt>
                <c:pt idx="125">
                  <c:v>320340.80381761404</c:v>
                </c:pt>
                <c:pt idx="126">
                  <c:v>12069.368472049247</c:v>
                </c:pt>
                <c:pt idx="127">
                  <c:v>137289.19627443753</c:v>
                </c:pt>
                <c:pt idx="128">
                  <c:v>157967.63046167369</c:v>
                </c:pt>
                <c:pt idx="129">
                  <c:v>7934.1195574076182</c:v>
                </c:pt>
                <c:pt idx="130">
                  <c:v>123539.54101307002</c:v>
                </c:pt>
                <c:pt idx="131">
                  <c:v>45118.872997555591</c:v>
                </c:pt>
                <c:pt idx="132">
                  <c:v>25466.541382191812</c:v>
                </c:pt>
                <c:pt idx="133">
                  <c:v>83091.758004852643</c:v>
                </c:pt>
                <c:pt idx="134">
                  <c:v>284953.27730658557</c:v>
                </c:pt>
                <c:pt idx="135">
                  <c:v>40950.723003999075</c:v>
                </c:pt>
                <c:pt idx="136">
                  <c:v>26707.190795997929</c:v>
                </c:pt>
                <c:pt idx="137">
                  <c:v>574639.38882801856</c:v>
                </c:pt>
                <c:pt idx="138">
                  <c:v>93253.372643639625</c:v>
                </c:pt>
                <c:pt idx="139">
                  <c:v>133156.82181538348</c:v>
                </c:pt>
                <c:pt idx="140">
                  <c:v>4038.8272949920611</c:v>
                </c:pt>
                <c:pt idx="141">
                  <c:v>206994.15510348155</c:v>
                </c:pt>
                <c:pt idx="142">
                  <c:v>22341.809033458296</c:v>
                </c:pt>
                <c:pt idx="143">
                  <c:v>9927.6094655224933</c:v>
                </c:pt>
                <c:pt idx="144">
                  <c:v>370236.64373726066</c:v>
                </c:pt>
                <c:pt idx="145">
                  <c:v>2170.7025872992103</c:v>
                </c:pt>
                <c:pt idx="146">
                  <c:v>30306.324090001279</c:v>
                </c:pt>
                <c:pt idx="147">
                  <c:v>88816.469988605342</c:v>
                </c:pt>
                <c:pt idx="148">
                  <c:v>17635.762376645504</c:v>
                </c:pt>
                <c:pt idx="149">
                  <c:v>109681.16557685957</c:v>
                </c:pt>
                <c:pt idx="150">
                  <c:v>142447.97245306178</c:v>
                </c:pt>
                <c:pt idx="151">
                  <c:v>237627.28489205037</c:v>
                </c:pt>
                <c:pt idx="152">
                  <c:v>273383.95650463179</c:v>
                </c:pt>
                <c:pt idx="153">
                  <c:v>27556.864885727227</c:v>
                </c:pt>
                <c:pt idx="154">
                  <c:v>181763.40096455868</c:v>
                </c:pt>
                <c:pt idx="155">
                  <c:v>23881.493175068619</c:v>
                </c:pt>
                <c:pt idx="156">
                  <c:v>105327.90136051361</c:v>
                </c:pt>
                <c:pt idx="157">
                  <c:v>2950.3072321970776</c:v>
                </c:pt>
                <c:pt idx="158">
                  <c:v>5899.5241345479772</c:v>
                </c:pt>
                <c:pt idx="159">
                  <c:v>80862.397674463966</c:v>
                </c:pt>
                <c:pt idx="160">
                  <c:v>38304.476909067234</c:v>
                </c:pt>
                <c:pt idx="161">
                  <c:v>118393.16947289078</c:v>
                </c:pt>
                <c:pt idx="162">
                  <c:v>56048.822271112054</c:v>
                </c:pt>
                <c:pt idx="163">
                  <c:v>30061.028507824773</c:v>
                </c:pt>
                <c:pt idx="164">
                  <c:v>122686.94995176473</c:v>
                </c:pt>
                <c:pt idx="165">
                  <c:v>180485.44782560217</c:v>
                </c:pt>
                <c:pt idx="166">
                  <c:v>7050.0806058913859</c:v>
                </c:pt>
                <c:pt idx="167">
                  <c:v>4124.7946474277587</c:v>
                </c:pt>
                <c:pt idx="168">
                  <c:v>161065.06127090467</c:v>
                </c:pt>
                <c:pt idx="169">
                  <c:v>92134.778047648957</c:v>
                </c:pt>
                <c:pt idx="170">
                  <c:v>209864.65719163857</c:v>
                </c:pt>
                <c:pt idx="171">
                  <c:v>35260.79040277953</c:v>
                </c:pt>
                <c:pt idx="172">
                  <c:v>83118.326924468085</c:v>
                </c:pt>
                <c:pt idx="173">
                  <c:v>7641.5491681830463</c:v>
                </c:pt>
                <c:pt idx="174">
                  <c:v>143746.95942078755</c:v>
                </c:pt>
                <c:pt idx="175">
                  <c:v>20829.564150299604</c:v>
                </c:pt>
                <c:pt idx="176">
                  <c:v>18810.602144124798</c:v>
                </c:pt>
                <c:pt idx="177">
                  <c:v>49484.150573437364</c:v>
                </c:pt>
                <c:pt idx="178">
                  <c:v>17004.854633243434</c:v>
                </c:pt>
                <c:pt idx="179">
                  <c:v>4751.5205514429454</c:v>
                </c:pt>
              </c:numCache>
            </c:numRef>
          </c:xVal>
          <c:yVal>
            <c:numRef>
              <c:f>NEDL_Functional_forms!$E$3:$E$182</c:f>
              <c:numCache>
                <c:formatCode>0</c:formatCode>
                <c:ptCount val="180"/>
                <c:pt idx="0">
                  <c:v>32613.762632831756</c:v>
                </c:pt>
                <c:pt idx="1">
                  <c:v>7159.5791570824413</c:v>
                </c:pt>
                <c:pt idx="2">
                  <c:v>15177.922303678692</c:v>
                </c:pt>
                <c:pt idx="3">
                  <c:v>12531.788652276342</c:v>
                </c:pt>
                <c:pt idx="4">
                  <c:v>66112.72020174138</c:v>
                </c:pt>
                <c:pt idx="5">
                  <c:v>21826.837555403643</c:v>
                </c:pt>
                <c:pt idx="6">
                  <c:v>14735.137921180121</c:v>
                </c:pt>
                <c:pt idx="7">
                  <c:v>16514.492598565663</c:v>
                </c:pt>
                <c:pt idx="8">
                  <c:v>54147.007455165018</c:v>
                </c:pt>
                <c:pt idx="9">
                  <c:v>53344.506852071587</c:v>
                </c:pt>
                <c:pt idx="10">
                  <c:v>15858.924384621463</c:v>
                </c:pt>
                <c:pt idx="11">
                  <c:v>790.04598871544204</c:v>
                </c:pt>
                <c:pt idx="12">
                  <c:v>44839.67783912547</c:v>
                </c:pt>
                <c:pt idx="13">
                  <c:v>3245.064493603209</c:v>
                </c:pt>
                <c:pt idx="14">
                  <c:v>2120.1393106190931</c:v>
                </c:pt>
                <c:pt idx="15">
                  <c:v>4658.009856484754</c:v>
                </c:pt>
                <c:pt idx="16">
                  <c:v>21347.125938144767</c:v>
                </c:pt>
                <c:pt idx="17">
                  <c:v>46964.979523779351</c:v>
                </c:pt>
                <c:pt idx="18">
                  <c:v>33088.542221623851</c:v>
                </c:pt>
                <c:pt idx="19">
                  <c:v>13795.342557179643</c:v>
                </c:pt>
                <c:pt idx="20">
                  <c:v>21665.937267222089</c:v>
                </c:pt>
                <c:pt idx="21">
                  <c:v>5602.4204524094221</c:v>
                </c:pt>
                <c:pt idx="22">
                  <c:v>50273.470621820314</c:v>
                </c:pt>
                <c:pt idx="23">
                  <c:v>8584.6306327140392</c:v>
                </c:pt>
                <c:pt idx="24">
                  <c:v>14593.960686772827</c:v>
                </c:pt>
                <c:pt idx="25">
                  <c:v>12217.291067851234</c:v>
                </c:pt>
                <c:pt idx="26">
                  <c:v>73249.18572648488</c:v>
                </c:pt>
                <c:pt idx="27">
                  <c:v>11778.395034199677</c:v>
                </c:pt>
                <c:pt idx="28">
                  <c:v>16484.376119125041</c:v>
                </c:pt>
                <c:pt idx="29">
                  <c:v>978.34936477055157</c:v>
                </c:pt>
                <c:pt idx="30">
                  <c:v>49884.058978622015</c:v>
                </c:pt>
                <c:pt idx="31">
                  <c:v>75298.817475453558</c:v>
                </c:pt>
                <c:pt idx="32">
                  <c:v>23252.556994134353</c:v>
                </c:pt>
                <c:pt idx="33">
                  <c:v>14128.811896664307</c:v>
                </c:pt>
                <c:pt idx="34">
                  <c:v>5035.3489736995771</c:v>
                </c:pt>
                <c:pt idx="35">
                  <c:v>3651.4969805475112</c:v>
                </c:pt>
                <c:pt idx="36">
                  <c:v>1021.6936939702215</c:v>
                </c:pt>
                <c:pt idx="37">
                  <c:v>4657.1160921282899</c:v>
                </c:pt>
                <c:pt idx="38">
                  <c:v>14057.756360156787</c:v>
                </c:pt>
                <c:pt idx="39">
                  <c:v>3208.8935390764746</c:v>
                </c:pt>
                <c:pt idx="40">
                  <c:v>7271.076372236038</c:v>
                </c:pt>
                <c:pt idx="41">
                  <c:v>18522.178954350427</c:v>
                </c:pt>
                <c:pt idx="42">
                  <c:v>61651.089952490845</c:v>
                </c:pt>
                <c:pt idx="43">
                  <c:v>32301.819526882715</c:v>
                </c:pt>
                <c:pt idx="44">
                  <c:v>37521.225260915002</c:v>
                </c:pt>
                <c:pt idx="45">
                  <c:v>51190.891631762119</c:v>
                </c:pt>
                <c:pt idx="46">
                  <c:v>6132.423002466463</c:v>
                </c:pt>
                <c:pt idx="47">
                  <c:v>10327.737811627449</c:v>
                </c:pt>
                <c:pt idx="48">
                  <c:v>54027.148192372813</c:v>
                </c:pt>
                <c:pt idx="49">
                  <c:v>17926.739260922706</c:v>
                </c:pt>
                <c:pt idx="50">
                  <c:v>11787.492764160239</c:v>
                </c:pt>
                <c:pt idx="51">
                  <c:v>11235.62871345143</c:v>
                </c:pt>
                <c:pt idx="52">
                  <c:v>12059.896298636992</c:v>
                </c:pt>
                <c:pt idx="53">
                  <c:v>40366.396903372195</c:v>
                </c:pt>
                <c:pt idx="54">
                  <c:v>33852.385894483305</c:v>
                </c:pt>
                <c:pt idx="55">
                  <c:v>2720.7412035271991</c:v>
                </c:pt>
                <c:pt idx="56">
                  <c:v>44928.513743104864</c:v>
                </c:pt>
                <c:pt idx="57">
                  <c:v>13753.735011146657</c:v>
                </c:pt>
                <c:pt idx="58">
                  <c:v>43755.065886159464</c:v>
                </c:pt>
                <c:pt idx="59">
                  <c:v>15492.226490958443</c:v>
                </c:pt>
                <c:pt idx="60">
                  <c:v>44274.957570076978</c:v>
                </c:pt>
                <c:pt idx="61">
                  <c:v>17055.664862707716</c:v>
                </c:pt>
                <c:pt idx="62">
                  <c:v>5363.2693984086191</c:v>
                </c:pt>
                <c:pt idx="63">
                  <c:v>2286.8051842788091</c:v>
                </c:pt>
                <c:pt idx="64">
                  <c:v>2408.8591027794791</c:v>
                </c:pt>
                <c:pt idx="65">
                  <c:v>1850.2984778842529</c:v>
                </c:pt>
                <c:pt idx="66">
                  <c:v>24712.759755631698</c:v>
                </c:pt>
                <c:pt idx="67">
                  <c:v>27201.494158326932</c:v>
                </c:pt>
                <c:pt idx="68">
                  <c:v>15374.281923182305</c:v>
                </c:pt>
                <c:pt idx="69">
                  <c:v>7769.8281250284399</c:v>
                </c:pt>
                <c:pt idx="70">
                  <c:v>54810.020072203995</c:v>
                </c:pt>
                <c:pt idx="71">
                  <c:v>5428.063203273673</c:v>
                </c:pt>
                <c:pt idx="72">
                  <c:v>26001.001152094374</c:v>
                </c:pt>
                <c:pt idx="73">
                  <c:v>1554.0212099122648</c:v>
                </c:pt>
                <c:pt idx="74">
                  <c:v>29236.400736668715</c:v>
                </c:pt>
                <c:pt idx="75">
                  <c:v>11595.101760673257</c:v>
                </c:pt>
                <c:pt idx="76">
                  <c:v>6711.3845477742534</c:v>
                </c:pt>
                <c:pt idx="77">
                  <c:v>102622.44892211873</c:v>
                </c:pt>
                <c:pt idx="78">
                  <c:v>13240.922759084586</c:v>
                </c:pt>
                <c:pt idx="79">
                  <c:v>11920.252300807666</c:v>
                </c:pt>
                <c:pt idx="80">
                  <c:v>53011.745238636002</c:v>
                </c:pt>
                <c:pt idx="81">
                  <c:v>38562.623916044562</c:v>
                </c:pt>
                <c:pt idx="82">
                  <c:v>40732.030472299164</c:v>
                </c:pt>
                <c:pt idx="83">
                  <c:v>8434.5220444706902</c:v>
                </c:pt>
                <c:pt idx="84">
                  <c:v>10789.005722703538</c:v>
                </c:pt>
                <c:pt idx="85">
                  <c:v>39704.233399225501</c:v>
                </c:pt>
                <c:pt idx="86">
                  <c:v>28306.397265288539</c:v>
                </c:pt>
                <c:pt idx="87">
                  <c:v>4236.6679944466059</c:v>
                </c:pt>
                <c:pt idx="88">
                  <c:v>6135.8551965055294</c:v>
                </c:pt>
                <c:pt idx="89">
                  <c:v>4500.0525087371261</c:v>
                </c:pt>
                <c:pt idx="90">
                  <c:v>22938.939728551013</c:v>
                </c:pt>
                <c:pt idx="91">
                  <c:v>42219.467962984236</c:v>
                </c:pt>
                <c:pt idx="92">
                  <c:v>62054.523585581745</c:v>
                </c:pt>
                <c:pt idx="93">
                  <c:v>7585.5535959497629</c:v>
                </c:pt>
                <c:pt idx="94">
                  <c:v>14749.866507320246</c:v>
                </c:pt>
                <c:pt idx="95">
                  <c:v>1258.1931046493542</c:v>
                </c:pt>
                <c:pt idx="96">
                  <c:v>14237.586987201845</c:v>
                </c:pt>
                <c:pt idx="97">
                  <c:v>13290.121387282423</c:v>
                </c:pt>
                <c:pt idx="98">
                  <c:v>2694.8701477001964</c:v>
                </c:pt>
                <c:pt idx="99">
                  <c:v>32483.440583636846</c:v>
                </c:pt>
                <c:pt idx="100">
                  <c:v>90479.404037734144</c:v>
                </c:pt>
                <c:pt idx="101">
                  <c:v>29411.11901944835</c:v>
                </c:pt>
                <c:pt idx="102">
                  <c:v>93488.377710029759</c:v>
                </c:pt>
                <c:pt idx="103">
                  <c:v>7923.9301499195171</c:v>
                </c:pt>
                <c:pt idx="104">
                  <c:v>9438.5661948653851</c:v>
                </c:pt>
                <c:pt idx="105">
                  <c:v>1539.0629406050368</c:v>
                </c:pt>
                <c:pt idx="106">
                  <c:v>19411.274838592115</c:v>
                </c:pt>
                <c:pt idx="107">
                  <c:v>18736.528225565893</c:v>
                </c:pt>
                <c:pt idx="108">
                  <c:v>15779.603174336524</c:v>
                </c:pt>
                <c:pt idx="109">
                  <c:v>2446.2076084832711</c:v>
                </c:pt>
                <c:pt idx="110">
                  <c:v>38910.076487889783</c:v>
                </c:pt>
                <c:pt idx="111">
                  <c:v>5153.3749298275416</c:v>
                </c:pt>
                <c:pt idx="112">
                  <c:v>21849.921729072419</c:v>
                </c:pt>
                <c:pt idx="113">
                  <c:v>11900.283719804278</c:v>
                </c:pt>
                <c:pt idx="114">
                  <c:v>1228.8704979882789</c:v>
                </c:pt>
                <c:pt idx="115">
                  <c:v>4676.1812126521536</c:v>
                </c:pt>
                <c:pt idx="116">
                  <c:v>15573.097484387528</c:v>
                </c:pt>
                <c:pt idx="117">
                  <c:v>23437.749203925749</c:v>
                </c:pt>
                <c:pt idx="118">
                  <c:v>1161.3806557279456</c:v>
                </c:pt>
                <c:pt idx="119">
                  <c:v>25735.308731575813</c:v>
                </c:pt>
                <c:pt idx="120">
                  <c:v>9353.1271421871061</c:v>
                </c:pt>
                <c:pt idx="121">
                  <c:v>1210.8781539680358</c:v>
                </c:pt>
                <c:pt idx="122">
                  <c:v>4983.6752401115191</c:v>
                </c:pt>
                <c:pt idx="123">
                  <c:v>5024.2756399738328</c:v>
                </c:pt>
                <c:pt idx="124">
                  <c:v>55569.439870902308</c:v>
                </c:pt>
                <c:pt idx="125">
                  <c:v>73668.787811239454</c:v>
                </c:pt>
                <c:pt idx="126">
                  <c:v>3631.0177695883526</c:v>
                </c:pt>
                <c:pt idx="127">
                  <c:v>41522.474066304378</c:v>
                </c:pt>
                <c:pt idx="128">
                  <c:v>30723.286834375016</c:v>
                </c:pt>
                <c:pt idx="129">
                  <c:v>5026.208767185889</c:v>
                </c:pt>
                <c:pt idx="130">
                  <c:v>29879.903490901437</c:v>
                </c:pt>
                <c:pt idx="131">
                  <c:v>12236.711412480165</c:v>
                </c:pt>
                <c:pt idx="132">
                  <c:v>8448.5332111072839</c:v>
                </c:pt>
                <c:pt idx="133">
                  <c:v>31985.158112243505</c:v>
                </c:pt>
                <c:pt idx="134">
                  <c:v>31796.800826153485</c:v>
                </c:pt>
                <c:pt idx="135">
                  <c:v>12319.806827137698</c:v>
                </c:pt>
                <c:pt idx="136">
                  <c:v>7386.2033817666452</c:v>
                </c:pt>
                <c:pt idx="137">
                  <c:v>114100.81620597253</c:v>
                </c:pt>
                <c:pt idx="138">
                  <c:v>27888.360678739002</c:v>
                </c:pt>
                <c:pt idx="139">
                  <c:v>28526.291524551456</c:v>
                </c:pt>
                <c:pt idx="140">
                  <c:v>2279.5068286482488</c:v>
                </c:pt>
                <c:pt idx="141">
                  <c:v>51824.880689360223</c:v>
                </c:pt>
                <c:pt idx="142">
                  <c:v>4230.8347332897365</c:v>
                </c:pt>
                <c:pt idx="143">
                  <c:v>3247.8329023271694</c:v>
                </c:pt>
                <c:pt idx="144">
                  <c:v>82336.341773401524</c:v>
                </c:pt>
                <c:pt idx="145">
                  <c:v>1875.1896326448204</c:v>
                </c:pt>
                <c:pt idx="146">
                  <c:v>8116.2691989203477</c:v>
                </c:pt>
                <c:pt idx="147">
                  <c:v>17220.315915625255</c:v>
                </c:pt>
                <c:pt idx="148">
                  <c:v>3784.7569581077137</c:v>
                </c:pt>
                <c:pt idx="149">
                  <c:v>14480.707248328094</c:v>
                </c:pt>
                <c:pt idx="150">
                  <c:v>27473.168471469649</c:v>
                </c:pt>
                <c:pt idx="151">
                  <c:v>34093.46414795344</c:v>
                </c:pt>
                <c:pt idx="152">
                  <c:v>52433.334024153533</c:v>
                </c:pt>
                <c:pt idx="153">
                  <c:v>7827.8229803571903</c:v>
                </c:pt>
                <c:pt idx="154">
                  <c:v>27783.162659289028</c:v>
                </c:pt>
                <c:pt idx="155">
                  <c:v>7210.5468300338571</c:v>
                </c:pt>
                <c:pt idx="156">
                  <c:v>16001.773147121543</c:v>
                </c:pt>
                <c:pt idx="157">
                  <c:v>1615.082448201767</c:v>
                </c:pt>
                <c:pt idx="158">
                  <c:v>2235.2266553970703</c:v>
                </c:pt>
                <c:pt idx="159">
                  <c:v>17116.30755201443</c:v>
                </c:pt>
                <c:pt idx="160">
                  <c:v>3893.7538796728004</c:v>
                </c:pt>
                <c:pt idx="161">
                  <c:v>26026.029629478795</c:v>
                </c:pt>
                <c:pt idx="162">
                  <c:v>28643.447534468407</c:v>
                </c:pt>
                <c:pt idx="163">
                  <c:v>11090.38377707066</c:v>
                </c:pt>
                <c:pt idx="164">
                  <c:v>26947.574311591874</c:v>
                </c:pt>
                <c:pt idx="165">
                  <c:v>46761.251375072592</c:v>
                </c:pt>
                <c:pt idx="166">
                  <c:v>2358.7611467524739</c:v>
                </c:pt>
                <c:pt idx="167">
                  <c:v>2092.1491565971896</c:v>
                </c:pt>
                <c:pt idx="168">
                  <c:v>13144.866537293416</c:v>
                </c:pt>
                <c:pt idx="169">
                  <c:v>20545.42291883201</c:v>
                </c:pt>
                <c:pt idx="170">
                  <c:v>62588.999726154339</c:v>
                </c:pt>
                <c:pt idx="171">
                  <c:v>12575.709182323928</c:v>
                </c:pt>
                <c:pt idx="172">
                  <c:v>11101.595596928719</c:v>
                </c:pt>
                <c:pt idx="173">
                  <c:v>251.09236465100665</c:v>
                </c:pt>
                <c:pt idx="174">
                  <c:v>37368.710391171335</c:v>
                </c:pt>
                <c:pt idx="175">
                  <c:v>7506.8169774356793</c:v>
                </c:pt>
                <c:pt idx="176">
                  <c:v>1777.2511219853754</c:v>
                </c:pt>
                <c:pt idx="177">
                  <c:v>12536.13494729267</c:v>
                </c:pt>
                <c:pt idx="178">
                  <c:v>3179.1959838682315</c:v>
                </c:pt>
                <c:pt idx="179">
                  <c:v>2787.6589749470622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86-4BB9-BF6C-26D615FED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1810415"/>
        <c:axId val="732689295"/>
      </c:scatterChart>
      <c:valAx>
        <c:axId val="2091810415"/>
        <c:scaling>
          <c:orientation val="minMax"/>
          <c:max val="6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Capital</a:t>
                </a:r>
                <a:r>
                  <a:rPr lang="en-GB" baseline="0"/>
                  <a:t> per worker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689295"/>
        <c:crosses val="autoZero"/>
        <c:crossBetween val="midCat"/>
      </c:valAx>
      <c:valAx>
        <c:axId val="73268929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GDP per capita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329228273549139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810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60960</xdr:colOff>
      <xdr:row>1</xdr:row>
      <xdr:rowOff>179070</xdr:rowOff>
    </xdr:from>
    <xdr:ext cx="702628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B6E0D43-E7FF-85BD-E5FC-412DBA458E19}"/>
                </a:ext>
              </a:extLst>
            </xdr:cNvPr>
            <xdr:cNvSpPr txBox="1"/>
          </xdr:nvSpPr>
          <xdr:spPr>
            <a:xfrm>
              <a:off x="11109960" y="331470"/>
              <a:ext cx="70262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𝑏𝑥</m:t>
                    </m:r>
                  </m:oMath>
                </m:oMathPara>
              </a14:m>
              <a:endParaRPr lang="en-GB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B6E0D43-E7FF-85BD-E5FC-412DBA458E19}"/>
                </a:ext>
              </a:extLst>
            </xdr:cNvPr>
            <xdr:cNvSpPr txBox="1"/>
          </xdr:nvSpPr>
          <xdr:spPr>
            <a:xfrm>
              <a:off x="11109960" y="331470"/>
              <a:ext cx="70262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𝑦=𝑎+𝑏𝑥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10</xdr:col>
      <xdr:colOff>30480</xdr:colOff>
      <xdr:row>3</xdr:row>
      <xdr:rowOff>171450</xdr:rowOff>
    </xdr:from>
    <xdr:ext cx="2224327" cy="27051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6DA14A2-5F02-49AC-B23A-062A31851CBF}"/>
                </a:ext>
              </a:extLst>
            </xdr:cNvPr>
            <xdr:cNvSpPr txBox="1"/>
          </xdr:nvSpPr>
          <xdr:spPr>
            <a:xfrm>
              <a:off x="11079480" y="689610"/>
              <a:ext cx="2224327" cy="2705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GB" sz="1100" b="0" i="0">
                            <a:latin typeface="Cambria Math" panose="02040503050406030204" pitchFamily="18" charset="0"/>
                          </a:rPr>
                          <m:t>ln</m:t>
                        </m:r>
                      </m:fName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func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𝑏𝑥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→</m:t>
                    </m:r>
                    <m:r>
                      <a:rPr lang="en-GB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𝑦</m:t>
                    </m:r>
                    <m:r>
                      <a:rPr lang="en-GB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sSup>
                      <m:sSupPr>
                        <m:ctrlP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𝑒</m:t>
                        </m:r>
                      </m:e>
                      <m:sup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𝑎</m:t>
                        </m:r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𝑏𝑥</m:t>
                        </m:r>
                      </m:sup>
                    </m:sSup>
                    <m:r>
                      <a:rPr lang="en-GB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sSup>
                      <m:sSupPr>
                        <m:ctrlP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𝑒</m:t>
                        </m:r>
                      </m:e>
                      <m:sup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𝑎</m:t>
                        </m:r>
                      </m:sup>
                    </m:sSup>
                    <m:sSup>
                      <m:sSupPr>
                        <m:ctrlP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𝑒</m:t>
                        </m:r>
                      </m:e>
                      <m:sup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𝑏𝑥</m:t>
                        </m:r>
                      </m:sup>
                    </m:sSup>
                  </m:oMath>
                </m:oMathPara>
              </a14:m>
              <a:endParaRPr lang="en-GB">
                <a:effectLst/>
              </a:endParaRPr>
            </a:p>
            <a:p>
              <a:endParaRPr lang="en-GB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6DA14A2-5F02-49AC-B23A-062A31851CBF}"/>
                </a:ext>
              </a:extLst>
            </xdr:cNvPr>
            <xdr:cNvSpPr txBox="1"/>
          </xdr:nvSpPr>
          <xdr:spPr>
            <a:xfrm>
              <a:off x="11079480" y="689610"/>
              <a:ext cx="2224327" cy="2705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b="0" i="0">
                  <a:latin typeface="Cambria Math" panose="02040503050406030204" pitchFamily="18" charset="0"/>
                </a:rPr>
                <a:t>ln⁡𝑦=𝑎+𝑏𝑥→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𝑦=𝑒^(𝑎+𝑏𝑥)=𝑒^𝑎 𝑒^𝑏𝑥</a:t>
              </a:r>
              <a:endParaRPr lang="en-GB">
                <a:effectLst/>
              </a:endParaRPr>
            </a:p>
            <a:p>
              <a:endParaRPr lang="en-GB" sz="1100"/>
            </a:p>
          </xdr:txBody>
        </xdr:sp>
      </mc:Fallback>
    </mc:AlternateContent>
    <xdr:clientData/>
  </xdr:oneCellAnchor>
  <xdr:oneCellAnchor>
    <xdr:from>
      <xdr:col>10</xdr:col>
      <xdr:colOff>60960</xdr:colOff>
      <xdr:row>6</xdr:row>
      <xdr:rowOff>0</xdr:rowOff>
    </xdr:from>
    <xdr:ext cx="869790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23B9373-DB96-41BD-8495-E2AF8F5D9FC4}"/>
                </a:ext>
              </a:extLst>
            </xdr:cNvPr>
            <xdr:cNvSpPr txBox="1"/>
          </xdr:nvSpPr>
          <xdr:spPr>
            <a:xfrm>
              <a:off x="11109960" y="1066800"/>
              <a:ext cx="86979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𝑏</m:t>
                    </m:r>
                    <m:func>
                      <m:func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GB" sz="1100" b="0" i="0">
                            <a:latin typeface="Cambria Math" panose="02040503050406030204" pitchFamily="18" charset="0"/>
                          </a:rPr>
                          <m:t>ln</m:t>
                        </m:r>
                      </m:fName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func>
                  </m:oMath>
                </m:oMathPara>
              </a14:m>
              <a:endParaRPr lang="en-GB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23B9373-DB96-41BD-8495-E2AF8F5D9FC4}"/>
                </a:ext>
              </a:extLst>
            </xdr:cNvPr>
            <xdr:cNvSpPr txBox="1"/>
          </xdr:nvSpPr>
          <xdr:spPr>
            <a:xfrm>
              <a:off x="11109960" y="1066800"/>
              <a:ext cx="86979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𝑦=𝑎+𝑏 ln⁡𝑥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9</xdr:col>
      <xdr:colOff>1493520</xdr:colOff>
      <xdr:row>8</xdr:row>
      <xdr:rowOff>7620</xdr:rowOff>
    </xdr:from>
    <xdr:ext cx="2487091" cy="18338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17E0073-21A1-4CEB-BA6A-793AA13A8D89}"/>
                </a:ext>
              </a:extLst>
            </xdr:cNvPr>
            <xdr:cNvSpPr txBox="1"/>
          </xdr:nvSpPr>
          <xdr:spPr>
            <a:xfrm>
              <a:off x="11041380" y="1440180"/>
              <a:ext cx="2487091" cy="183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GB" sz="1100" b="0" i="0">
                            <a:latin typeface="Cambria Math" panose="02040503050406030204" pitchFamily="18" charset="0"/>
                          </a:rPr>
                          <m:t>ln</m:t>
                        </m:r>
                      </m:fName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func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𝑏</m:t>
                    </m:r>
                    <m:func>
                      <m:func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GB" sz="1100" b="0" i="0">
                            <a:latin typeface="Cambria Math" panose="02040503050406030204" pitchFamily="18" charset="0"/>
                          </a:rPr>
                          <m:t>ln</m:t>
                        </m:r>
                      </m:fName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func>
                    <m:r>
                      <a:rPr lang="en-GB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→</m:t>
                    </m:r>
                    <m:r>
                      <a:rPr lang="en-GB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𝑦</m:t>
                    </m:r>
                    <m:r>
                      <a:rPr lang="en-GB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sSup>
                      <m:sSupPr>
                        <m:ctrlP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𝑒</m:t>
                        </m:r>
                      </m:e>
                      <m:sup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𝑎</m:t>
                        </m:r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𝑏</m:t>
                        </m:r>
                        <m:func>
                          <m:funcPr>
                            <m:ctrlP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en-GB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ln</m:t>
                            </m:r>
                          </m:fName>
                          <m:e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func>
                      </m:sup>
                    </m:sSup>
                    <m:r>
                      <a:rPr lang="en-GB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sSup>
                      <m:sSupPr>
                        <m:ctrlP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𝑒</m:t>
                        </m:r>
                      </m:e>
                      <m:sup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𝑎</m:t>
                        </m:r>
                      </m:sup>
                    </m:sSup>
                    <m:sSup>
                      <m:sSupPr>
                        <m:ctrlP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p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𝑏</m:t>
                        </m:r>
                      </m:sup>
                    </m:sSup>
                  </m:oMath>
                </m:oMathPara>
              </a14:m>
              <a:endParaRPr lang="en-GB">
                <a:effectLst/>
              </a:endParaRPr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17E0073-21A1-4CEB-BA6A-793AA13A8D89}"/>
                </a:ext>
              </a:extLst>
            </xdr:cNvPr>
            <xdr:cNvSpPr txBox="1"/>
          </xdr:nvSpPr>
          <xdr:spPr>
            <a:xfrm>
              <a:off x="11041380" y="1440180"/>
              <a:ext cx="2487091" cy="183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b="0" i="0">
                  <a:latin typeface="Cambria Math" panose="02040503050406030204" pitchFamily="18" charset="0"/>
                </a:rPr>
                <a:t>ln⁡𝑦=𝑎+𝑏 ln⁡𝑥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→𝑦=𝑒^(𝑎+𝑏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ln⁡𝑥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)=𝑒^𝑎 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^𝑏</a:t>
              </a:r>
              <a:endParaRPr lang="en-GB">
                <a:effectLst/>
              </a:endParaRPr>
            </a:p>
          </xdr:txBody>
        </xdr:sp>
      </mc:Fallback>
    </mc:AlternateContent>
    <xdr:clientData/>
  </xdr:oneCellAnchor>
  <xdr:twoCellAnchor>
    <xdr:from>
      <xdr:col>9</xdr:col>
      <xdr:colOff>0</xdr:colOff>
      <xdr:row>29</xdr:row>
      <xdr:rowOff>0</xdr:rowOff>
    </xdr:from>
    <xdr:to>
      <xdr:col>14</xdr:col>
      <xdr:colOff>114300</xdr:colOff>
      <xdr:row>44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86F550F-2CD6-4334-8B03-2F15BCB86D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A6525-C205-429C-BB23-8F8440D5279F}">
  <dimension ref="A1:R182"/>
  <sheetViews>
    <sheetView tabSelected="1" topLeftCell="F3" workbookViewId="0">
      <selection activeCell="H4" sqref="H4"/>
    </sheetView>
  </sheetViews>
  <sheetFormatPr defaultRowHeight="14.4" x14ac:dyDescent="0.3"/>
  <cols>
    <col min="2" max="4" width="12.77734375" customWidth="1"/>
    <col min="5" max="8" width="20.77734375" style="11" customWidth="1"/>
    <col min="10" max="10" width="21.88671875" bestFit="1" customWidth="1"/>
    <col min="11" max="18" width="10.77734375" customWidth="1"/>
  </cols>
  <sheetData>
    <row r="1" spans="1:18" ht="12" customHeight="1" x14ac:dyDescent="0.3">
      <c r="A1" s="1" t="s">
        <v>0</v>
      </c>
      <c r="B1" s="2" t="s">
        <v>1</v>
      </c>
      <c r="C1" s="2"/>
      <c r="D1" s="2"/>
      <c r="E1" s="8" t="s">
        <v>185</v>
      </c>
      <c r="F1" s="8" t="s">
        <v>186</v>
      </c>
      <c r="G1" s="8" t="s">
        <v>187</v>
      </c>
      <c r="H1" s="9" t="s">
        <v>188</v>
      </c>
    </row>
    <row r="2" spans="1:18" x14ac:dyDescent="0.3">
      <c r="A2" s="1"/>
      <c r="B2" s="3" t="s">
        <v>2</v>
      </c>
      <c r="C2" s="3" t="s">
        <v>3</v>
      </c>
      <c r="D2" s="3" t="s">
        <v>4</v>
      </c>
      <c r="E2" s="8"/>
      <c r="F2" s="8"/>
      <c r="G2" s="8"/>
      <c r="H2" s="9"/>
    </row>
    <row r="3" spans="1:18" x14ac:dyDescent="0.3">
      <c r="A3" t="s">
        <v>5</v>
      </c>
      <c r="B3" s="4">
        <v>3467.299560546875</v>
      </c>
      <c r="C3" s="3">
        <v>0.10631399999999999</v>
      </c>
      <c r="D3" s="4">
        <v>18458.13671875</v>
      </c>
      <c r="E3" s="10">
        <f>B3/C3</f>
        <v>32613.762632831756</v>
      </c>
      <c r="F3" s="10">
        <f>D3/C3</f>
        <v>173619.0597545949</v>
      </c>
      <c r="G3" s="12">
        <f>LN(E3)</f>
        <v>10.392489644918811</v>
      </c>
      <c r="H3" s="12">
        <f>LN(F3)</f>
        <v>12.064618866394877</v>
      </c>
      <c r="J3" t="s">
        <v>189</v>
      </c>
      <c r="O3" t="s">
        <v>193</v>
      </c>
    </row>
    <row r="4" spans="1:18" x14ac:dyDescent="0.3">
      <c r="A4" t="s">
        <v>6</v>
      </c>
      <c r="B4" s="4">
        <v>227855.71875</v>
      </c>
      <c r="C4" s="3">
        <v>31.825294999999997</v>
      </c>
      <c r="D4" s="4">
        <v>1371321.375</v>
      </c>
      <c r="E4" s="10">
        <f t="shared" ref="E4:E67" si="0">B4/C4</f>
        <v>7159.5791570824413</v>
      </c>
      <c r="F4" s="10">
        <f t="shared" ref="F4:F67" si="1">D4/C4</f>
        <v>43089.038923284141</v>
      </c>
      <c r="G4" s="12">
        <f t="shared" ref="G4:G67" si="2">LN(E4)</f>
        <v>8.8762064812834662</v>
      </c>
      <c r="H4" s="12">
        <f t="shared" ref="H4:H67" si="3">LN(F4)</f>
        <v>10.67102392642251</v>
      </c>
    </row>
    <row r="5" spans="1:18" x14ac:dyDescent="0.3">
      <c r="A5" t="s">
        <v>7</v>
      </c>
      <c r="B5" s="4">
        <v>225.68052673339844</v>
      </c>
      <c r="C5" s="3">
        <v>1.4868999999999999E-2</v>
      </c>
      <c r="D5" s="4">
        <v>2385.742431640625</v>
      </c>
      <c r="E5" s="10">
        <f t="shared" si="0"/>
        <v>15177.922303678692</v>
      </c>
      <c r="F5" s="10">
        <f t="shared" si="1"/>
        <v>160450.76546106834</v>
      </c>
      <c r="G5" s="12">
        <f t="shared" si="2"/>
        <v>9.6275971709415771</v>
      </c>
      <c r="H5" s="12">
        <f t="shared" si="3"/>
        <v>11.985742417240667</v>
      </c>
      <c r="J5" t="s">
        <v>190</v>
      </c>
      <c r="O5" t="s">
        <v>196</v>
      </c>
    </row>
    <row r="6" spans="1:18" x14ac:dyDescent="0.3">
      <c r="A6" t="s">
        <v>8</v>
      </c>
      <c r="B6" s="4">
        <v>36103.04296875</v>
      </c>
      <c r="C6" s="3">
        <v>2.8809169999999997</v>
      </c>
      <c r="D6" s="4">
        <v>229818.34375</v>
      </c>
      <c r="E6" s="10">
        <f t="shared" si="0"/>
        <v>12531.788652276342</v>
      </c>
      <c r="F6" s="10">
        <f t="shared" si="1"/>
        <v>79772.636195350307</v>
      </c>
      <c r="G6" s="12">
        <f t="shared" si="2"/>
        <v>9.4360237872854693</v>
      </c>
      <c r="H6" s="12">
        <f t="shared" si="3"/>
        <v>11.286935819812427</v>
      </c>
    </row>
    <row r="7" spans="1:18" x14ac:dyDescent="0.3">
      <c r="A7" t="s">
        <v>9</v>
      </c>
      <c r="B7" s="4">
        <v>645956.25</v>
      </c>
      <c r="C7" s="3">
        <v>9.7705289999999998</v>
      </c>
      <c r="D7" s="4">
        <v>4510359.5</v>
      </c>
      <c r="E7" s="10">
        <f t="shared" si="0"/>
        <v>66112.72020174138</v>
      </c>
      <c r="F7" s="10">
        <f t="shared" si="1"/>
        <v>461628.99675135297</v>
      </c>
      <c r="G7" s="12">
        <f t="shared" si="2"/>
        <v>11.099116446081359</v>
      </c>
      <c r="H7" s="12">
        <f t="shared" si="3"/>
        <v>13.04251681012194</v>
      </c>
      <c r="J7" t="s">
        <v>191</v>
      </c>
      <c r="O7" t="s">
        <v>194</v>
      </c>
    </row>
    <row r="8" spans="1:18" x14ac:dyDescent="0.3">
      <c r="A8" t="s">
        <v>10</v>
      </c>
      <c r="B8" s="4">
        <v>977420.5625</v>
      </c>
      <c r="C8" s="3">
        <v>44.780676999999997</v>
      </c>
      <c r="D8" s="4">
        <v>3374818.75</v>
      </c>
      <c r="E8" s="10">
        <f t="shared" si="0"/>
        <v>21826.837555403643</v>
      </c>
      <c r="F8" s="10">
        <f t="shared" si="1"/>
        <v>75363.281131279015</v>
      </c>
      <c r="G8" s="12">
        <f t="shared" si="2"/>
        <v>9.9908955721420067</v>
      </c>
      <c r="H8" s="12">
        <f t="shared" si="3"/>
        <v>11.230075447730231</v>
      </c>
    </row>
    <row r="9" spans="1:18" x14ac:dyDescent="0.3">
      <c r="A9" t="s">
        <v>11</v>
      </c>
      <c r="B9" s="4">
        <v>43582.57421875</v>
      </c>
      <c r="C9" s="3">
        <v>2.9577309999999999</v>
      </c>
      <c r="D9" s="4">
        <v>98945.8828125</v>
      </c>
      <c r="E9" s="10">
        <f t="shared" si="0"/>
        <v>14735.137921180121</v>
      </c>
      <c r="F9" s="10">
        <f t="shared" si="1"/>
        <v>33453.306880341719</v>
      </c>
      <c r="G9" s="12">
        <f t="shared" si="2"/>
        <v>9.5979902552352261</v>
      </c>
      <c r="H9" s="12">
        <f t="shared" si="3"/>
        <v>10.417905921068863</v>
      </c>
      <c r="J9" t="s">
        <v>192</v>
      </c>
      <c r="O9" t="s">
        <v>195</v>
      </c>
    </row>
    <row r="10" spans="1:18" x14ac:dyDescent="0.3">
      <c r="A10" t="s">
        <v>12</v>
      </c>
      <c r="B10" s="4">
        <v>1603.8544921875</v>
      </c>
      <c r="C10" s="3">
        <v>9.7117999999999996E-2</v>
      </c>
      <c r="D10" s="4">
        <v>10975.732421875</v>
      </c>
      <c r="E10" s="10">
        <f t="shared" si="0"/>
        <v>16514.492598565663</v>
      </c>
      <c r="F10" s="10">
        <f t="shared" si="1"/>
        <v>113014.39920380362</v>
      </c>
      <c r="G10" s="12">
        <f t="shared" si="2"/>
        <v>9.7119936136814378</v>
      </c>
      <c r="H10" s="12">
        <f t="shared" si="3"/>
        <v>11.635270516158734</v>
      </c>
    </row>
    <row r="11" spans="1:18" x14ac:dyDescent="0.3">
      <c r="A11" t="s">
        <v>13</v>
      </c>
      <c r="B11" s="4">
        <v>1364677.75</v>
      </c>
      <c r="C11" s="3">
        <v>25.203198</v>
      </c>
      <c r="D11" s="4">
        <v>5899093.5</v>
      </c>
      <c r="E11" s="10">
        <f t="shared" si="0"/>
        <v>54147.007455165018</v>
      </c>
      <c r="F11" s="10">
        <f t="shared" si="1"/>
        <v>234061.308410147</v>
      </c>
      <c r="G11" s="12">
        <f t="shared" si="2"/>
        <v>10.899457986916154</v>
      </c>
      <c r="H11" s="12">
        <f t="shared" si="3"/>
        <v>12.363338361776139</v>
      </c>
    </row>
    <row r="12" spans="1:18" x14ac:dyDescent="0.3">
      <c r="A12" t="s">
        <v>14</v>
      </c>
      <c r="B12" s="4">
        <v>477705.5</v>
      </c>
      <c r="C12" s="3">
        <v>8.9551020000000001</v>
      </c>
      <c r="D12" s="4">
        <v>2875460</v>
      </c>
      <c r="E12" s="10">
        <f t="shared" si="0"/>
        <v>53344.506852071587</v>
      </c>
      <c r="F12" s="10">
        <f t="shared" si="1"/>
        <v>321097.40346899454</v>
      </c>
      <c r="G12" s="12">
        <f t="shared" si="2"/>
        <v>10.884526287081409</v>
      </c>
      <c r="H12" s="12">
        <f t="shared" si="3"/>
        <v>12.679499793682389</v>
      </c>
      <c r="K12" s="7" t="s">
        <v>200</v>
      </c>
      <c r="L12" s="7"/>
      <c r="M12" s="7" t="s">
        <v>201</v>
      </c>
      <c r="N12" s="7"/>
      <c r="O12" s="7" t="s">
        <v>202</v>
      </c>
      <c r="P12" s="7"/>
      <c r="Q12" s="7" t="s">
        <v>203</v>
      </c>
      <c r="R12" s="7"/>
    </row>
    <row r="13" spans="1:18" x14ac:dyDescent="0.3">
      <c r="A13" t="s">
        <v>15</v>
      </c>
      <c r="B13" s="4">
        <v>159346</v>
      </c>
      <c r="C13" s="3">
        <v>10.047718</v>
      </c>
      <c r="D13" s="4">
        <v>273638.78125</v>
      </c>
      <c r="E13" s="10">
        <f t="shared" si="0"/>
        <v>15858.924384621463</v>
      </c>
      <c r="F13" s="10">
        <f t="shared" si="1"/>
        <v>27233.923289845516</v>
      </c>
      <c r="G13" s="12">
        <f t="shared" si="2"/>
        <v>9.6714876735082616</v>
      </c>
      <c r="H13" s="12">
        <f t="shared" si="3"/>
        <v>10.212218654975167</v>
      </c>
      <c r="J13" t="s">
        <v>197</v>
      </c>
      <c r="K13" s="6" cm="1">
        <f t="array" ref="K13:L17">LINEST(E3:E182,F3:F182,1,1)</f>
        <v>0.17908365028848719</v>
      </c>
      <c r="L13" s="3">
        <v>2879.9631419887955</v>
      </c>
      <c r="M13" s="13" cm="1">
        <f t="array" ref="M13:N17">LINEST(G3:G182,F3:F182,1,1)</f>
        <v>8.3836590856809929E-6</v>
      </c>
      <c r="N13" s="3">
        <v>8.5505142154052436</v>
      </c>
      <c r="O13" s="3" cm="1">
        <f t="array" ref="O13:P17">LINEST(E3:E182,H3:H182,1,1)</f>
        <v>12455.038077158262</v>
      </c>
      <c r="P13" s="3">
        <v>-113159.34311315925</v>
      </c>
      <c r="Q13" s="6" cm="1">
        <f t="array" ref="Q13:R17">LINEST(G3:G182,H3:H182,1,1)</f>
        <v>0.79756010299468127</v>
      </c>
      <c r="R13" s="6">
        <v>0.79002573232361506</v>
      </c>
    </row>
    <row r="14" spans="1:18" x14ac:dyDescent="0.3">
      <c r="A14" t="s">
        <v>16</v>
      </c>
      <c r="B14" s="4">
        <v>9109.6884765625</v>
      </c>
      <c r="C14" s="3">
        <v>11.530579999999999</v>
      </c>
      <c r="D14" s="4">
        <v>18806.5859375</v>
      </c>
      <c r="E14" s="10">
        <f t="shared" si="0"/>
        <v>790.04598871544204</v>
      </c>
      <c r="F14" s="10">
        <f t="shared" si="1"/>
        <v>1631.0182087544601</v>
      </c>
      <c r="G14" s="12">
        <f t="shared" si="2"/>
        <v>6.6720911573305743</v>
      </c>
      <c r="H14" s="12">
        <f t="shared" si="3"/>
        <v>7.3969597667245202</v>
      </c>
      <c r="J14" t="s">
        <v>198</v>
      </c>
      <c r="K14" s="6">
        <v>5.2643909291792993E-3</v>
      </c>
      <c r="L14" s="3">
        <v>819.41105635811709</v>
      </c>
      <c r="M14" s="13">
        <v>4.6227169154806199E-7</v>
      </c>
      <c r="N14" s="3">
        <v>7.1953344687284343E-2</v>
      </c>
      <c r="O14" s="3">
        <v>707.37316345427018</v>
      </c>
      <c r="P14" s="3">
        <v>7741.205793806791</v>
      </c>
      <c r="Q14" s="6">
        <v>2.10324462051894E-2</v>
      </c>
      <c r="R14" s="6">
        <v>0.23017058440055943</v>
      </c>
    </row>
    <row r="15" spans="1:18" x14ac:dyDescent="0.3">
      <c r="A15" t="s">
        <v>17</v>
      </c>
      <c r="B15" s="4">
        <v>517419.75</v>
      </c>
      <c r="C15" s="3">
        <v>11.539327999999999</v>
      </c>
      <c r="D15" s="4">
        <v>3496175.75</v>
      </c>
      <c r="E15" s="10">
        <f t="shared" si="0"/>
        <v>44839.67783912547</v>
      </c>
      <c r="F15" s="10">
        <f t="shared" si="1"/>
        <v>302979.14661928324</v>
      </c>
      <c r="G15" s="12">
        <f t="shared" si="2"/>
        <v>10.710848692484227</v>
      </c>
      <c r="H15" s="12">
        <f t="shared" si="3"/>
        <v>12.621419259084423</v>
      </c>
      <c r="J15" t="s">
        <v>199</v>
      </c>
      <c r="K15" s="6">
        <v>0.86668855072292339</v>
      </c>
      <c r="L15" s="3">
        <v>7986.0283766729044</v>
      </c>
      <c r="M15" s="6">
        <v>0.64885051567043894</v>
      </c>
      <c r="N15" s="3">
        <v>0.70126153169459493</v>
      </c>
      <c r="O15" s="6">
        <v>0.63526258308078154</v>
      </c>
      <c r="P15" s="3">
        <v>13209.527494966869</v>
      </c>
      <c r="Q15" s="6">
        <v>0.88984886304022148</v>
      </c>
      <c r="R15" s="6">
        <v>0.39276112070347408</v>
      </c>
    </row>
    <row r="16" spans="1:18" x14ac:dyDescent="0.3">
      <c r="A16" t="s">
        <v>18</v>
      </c>
      <c r="B16" s="4">
        <v>38295.49609375</v>
      </c>
      <c r="C16" s="3">
        <v>11.801150999999999</v>
      </c>
      <c r="D16" s="4">
        <v>88006.9453125</v>
      </c>
      <c r="E16" s="10">
        <f t="shared" si="0"/>
        <v>3245.064493603209</v>
      </c>
      <c r="F16" s="10">
        <f t="shared" si="1"/>
        <v>7457.4882833462607</v>
      </c>
      <c r="G16" s="12">
        <f t="shared" si="2"/>
        <v>8.0848905037028498</v>
      </c>
      <c r="H16" s="12">
        <f t="shared" si="3"/>
        <v>8.9169739452641377</v>
      </c>
      <c r="K16" s="3">
        <v>1157.2191500824663</v>
      </c>
      <c r="L16" s="5">
        <v>178</v>
      </c>
      <c r="M16" s="3">
        <v>328.9066250797718</v>
      </c>
      <c r="N16" s="5">
        <v>178</v>
      </c>
      <c r="O16" s="3">
        <v>310.02231891504357</v>
      </c>
      <c r="P16" s="5">
        <v>178</v>
      </c>
      <c r="Q16" s="3">
        <v>1437.9615316998181</v>
      </c>
      <c r="R16" s="5">
        <v>178</v>
      </c>
    </row>
    <row r="17" spans="1:18" x14ac:dyDescent="0.3">
      <c r="A17" t="s">
        <v>19</v>
      </c>
      <c r="B17" s="4">
        <v>43084.15234375</v>
      </c>
      <c r="C17" s="3">
        <v>20.321377999999999</v>
      </c>
      <c r="D17" s="4">
        <v>86375.109375</v>
      </c>
      <c r="E17" s="10">
        <f t="shared" si="0"/>
        <v>2120.1393106190931</v>
      </c>
      <c r="F17" s="10">
        <f t="shared" si="1"/>
        <v>4250.4553271436616</v>
      </c>
      <c r="G17" s="12">
        <f t="shared" si="2"/>
        <v>7.659237078063259</v>
      </c>
      <c r="H17" s="12">
        <f t="shared" si="3"/>
        <v>8.3547813919783405</v>
      </c>
      <c r="K17" s="14">
        <v>73803559820.548599</v>
      </c>
      <c r="L17" s="14">
        <v>11352243563.478424</v>
      </c>
      <c r="M17" s="3">
        <v>161.74566631649526</v>
      </c>
      <c r="N17" s="3">
        <v>87.534656978567583</v>
      </c>
      <c r="O17" s="14">
        <v>54096295622.056168</v>
      </c>
      <c r="P17" s="14">
        <v>31059507761.970852</v>
      </c>
      <c r="Q17" s="3">
        <v>221.8218122624105</v>
      </c>
      <c r="R17" s="3">
        <v>27.458511032652311</v>
      </c>
    </row>
    <row r="18" spans="1:18" x14ac:dyDescent="0.3">
      <c r="A18" t="s">
        <v>20</v>
      </c>
      <c r="B18" s="4">
        <v>759470.625</v>
      </c>
      <c r="C18" s="3">
        <v>163.04616099999998</v>
      </c>
      <c r="D18" s="4">
        <v>2843306.5</v>
      </c>
      <c r="E18" s="10">
        <f t="shared" si="0"/>
        <v>4658.009856484754</v>
      </c>
      <c r="F18" s="10">
        <f t="shared" si="1"/>
        <v>17438.659595303201</v>
      </c>
      <c r="G18" s="12">
        <f t="shared" si="2"/>
        <v>8.4463435664757007</v>
      </c>
      <c r="H18" s="12">
        <f t="shared" si="3"/>
        <v>9.7664448364417602</v>
      </c>
    </row>
    <row r="19" spans="1:18" x14ac:dyDescent="0.3">
      <c r="A19" t="s">
        <v>21</v>
      </c>
      <c r="B19" s="4">
        <v>149432.421875</v>
      </c>
      <c r="C19" s="3">
        <v>7.0001189999999998</v>
      </c>
      <c r="D19" s="4">
        <v>458279.15625</v>
      </c>
      <c r="E19" s="10">
        <f t="shared" si="0"/>
        <v>21347.125938144767</v>
      </c>
      <c r="F19" s="10">
        <f t="shared" si="1"/>
        <v>65467.337948112028</v>
      </c>
      <c r="G19" s="12">
        <f t="shared" si="2"/>
        <v>9.9686723931148205</v>
      </c>
      <c r="H19" s="12">
        <f t="shared" si="3"/>
        <v>11.089306639971722</v>
      </c>
      <c r="J19" s="5" t="s">
        <v>204</v>
      </c>
      <c r="K19" s="3">
        <f>K13/K14</f>
        <v>34.01792395315249</v>
      </c>
      <c r="L19" s="3">
        <f t="shared" ref="L19:R19" si="4">L13/L14</f>
        <v>3.5146744965693149</v>
      </c>
      <c r="M19" s="3">
        <f t="shared" si="4"/>
        <v>18.135783001562732</v>
      </c>
      <c r="N19" s="3">
        <f t="shared" si="4"/>
        <v>118.8341452724198</v>
      </c>
      <c r="O19" s="3">
        <f t="shared" si="4"/>
        <v>17.607450664847633</v>
      </c>
      <c r="P19" s="3">
        <f t="shared" si="4"/>
        <v>-14.617792902972596</v>
      </c>
      <c r="Q19" s="3">
        <f t="shared" si="4"/>
        <v>37.920463231609112</v>
      </c>
      <c r="R19" s="3">
        <f t="shared" si="4"/>
        <v>3.4323488137335367</v>
      </c>
    </row>
    <row r="20" spans="1:18" x14ac:dyDescent="0.3">
      <c r="A20" t="s">
        <v>22</v>
      </c>
      <c r="B20" s="4">
        <v>77077.609375</v>
      </c>
      <c r="C20" s="3">
        <v>1.6411719999999999</v>
      </c>
      <c r="D20" s="4">
        <v>428701.65625</v>
      </c>
      <c r="E20" s="10">
        <f t="shared" si="0"/>
        <v>46964.979523779351</v>
      </c>
      <c r="F20" s="10">
        <f t="shared" si="1"/>
        <v>261216.77450626751</v>
      </c>
      <c r="G20" s="12">
        <f t="shared" si="2"/>
        <v>10.75715748643958</v>
      </c>
      <c r="H20" s="12">
        <f t="shared" si="3"/>
        <v>12.473105895249855</v>
      </c>
      <c r="J20" s="5" t="s">
        <v>205</v>
      </c>
      <c r="K20" s="15">
        <f>_xlfn.T.DIST.2T(ABS(K19),$L$16)</f>
        <v>8.3180449207722348E-80</v>
      </c>
      <c r="L20" s="15">
        <f t="shared" ref="L20:R20" si="5">_xlfn.T.DIST.2T(ABS(L19),$L$16)</f>
        <v>5.5838229613641797E-4</v>
      </c>
      <c r="M20" s="15">
        <f t="shared" si="5"/>
        <v>2.6154275017030267E-42</v>
      </c>
      <c r="N20" s="15">
        <f t="shared" si="5"/>
        <v>1.7477844689769681E-171</v>
      </c>
      <c r="O20" s="15">
        <f t="shared" si="5"/>
        <v>7.7538469553170673E-41</v>
      </c>
      <c r="P20" s="15">
        <f t="shared" si="5"/>
        <v>2.6437193098095848E-32</v>
      </c>
      <c r="Q20" s="15">
        <f t="shared" si="5"/>
        <v>3.4528953000278211E-87</v>
      </c>
      <c r="R20" s="15">
        <f t="shared" si="5"/>
        <v>7.4410537531951755E-4</v>
      </c>
    </row>
    <row r="21" spans="1:18" x14ac:dyDescent="0.3">
      <c r="A21" t="s">
        <v>23</v>
      </c>
      <c r="B21" s="4">
        <v>12887.3916015625</v>
      </c>
      <c r="C21" s="3">
        <v>0.38948199999999999</v>
      </c>
      <c r="D21" s="4">
        <v>76626.09375</v>
      </c>
      <c r="E21" s="10">
        <f t="shared" si="0"/>
        <v>33088.542221623851</v>
      </c>
      <c r="F21" s="10">
        <f t="shared" si="1"/>
        <v>196738.47250964103</v>
      </c>
      <c r="G21" s="12">
        <f t="shared" si="2"/>
        <v>10.406942344992773</v>
      </c>
      <c r="H21" s="12">
        <f t="shared" si="3"/>
        <v>12.189630575031531</v>
      </c>
    </row>
    <row r="22" spans="1:18" x14ac:dyDescent="0.3">
      <c r="A22" t="s">
        <v>24</v>
      </c>
      <c r="B22" s="4">
        <v>45538.42578125</v>
      </c>
      <c r="C22" s="3">
        <v>3.3009999999999997</v>
      </c>
      <c r="D22" s="4">
        <v>138297.515625</v>
      </c>
      <c r="E22" s="10">
        <f t="shared" si="0"/>
        <v>13795.342557179643</v>
      </c>
      <c r="F22" s="10">
        <f t="shared" si="1"/>
        <v>41895.642418963951</v>
      </c>
      <c r="G22" s="12">
        <f t="shared" si="2"/>
        <v>9.5320863183242039</v>
      </c>
      <c r="H22" s="12">
        <f t="shared" si="3"/>
        <v>10.642937100954502</v>
      </c>
      <c r="J22" s="5" t="s">
        <v>186</v>
      </c>
      <c r="K22" s="5">
        <v>100000</v>
      </c>
    </row>
    <row r="23" spans="1:18" x14ac:dyDescent="0.3">
      <c r="A23" t="s">
        <v>25</v>
      </c>
      <c r="B23" s="4">
        <v>204795.34375</v>
      </c>
      <c r="C23" s="3">
        <v>9.4524109999999997</v>
      </c>
      <c r="D23" s="4">
        <v>656323.1875</v>
      </c>
      <c r="E23" s="10">
        <f t="shared" si="0"/>
        <v>21665.937267222089</v>
      </c>
      <c r="F23" s="10">
        <f t="shared" si="1"/>
        <v>69434.474178069489</v>
      </c>
      <c r="G23" s="12">
        <f t="shared" si="2"/>
        <v>9.9834965950532499</v>
      </c>
      <c r="H23" s="12">
        <f t="shared" si="3"/>
        <v>11.148138769239097</v>
      </c>
      <c r="K23" s="5"/>
    </row>
    <row r="24" spans="1:18" x14ac:dyDescent="0.3">
      <c r="A24" t="s">
        <v>26</v>
      </c>
      <c r="B24" s="4">
        <v>2186.921630859375</v>
      </c>
      <c r="C24" s="3">
        <v>0.39035300000000001</v>
      </c>
      <c r="D24" s="4">
        <v>9956.2080078125</v>
      </c>
      <c r="E24" s="10">
        <f t="shared" si="0"/>
        <v>5602.4204524094221</v>
      </c>
      <c r="F24" s="10">
        <f t="shared" si="1"/>
        <v>25505.652596015658</v>
      </c>
      <c r="G24" s="12">
        <f t="shared" si="2"/>
        <v>8.6309540069860482</v>
      </c>
      <c r="H24" s="12">
        <f t="shared" si="3"/>
        <v>10.146655377013245</v>
      </c>
      <c r="K24" s="5" t="s">
        <v>206</v>
      </c>
    </row>
    <row r="25" spans="1:18" x14ac:dyDescent="0.3">
      <c r="A25" t="s">
        <v>27</v>
      </c>
      <c r="B25" s="4">
        <v>3142.3935546875</v>
      </c>
      <c r="C25" s="3">
        <v>6.2505999999999992E-2</v>
      </c>
      <c r="D25" s="4">
        <v>11334.5400390625</v>
      </c>
      <c r="E25" s="10">
        <f t="shared" si="0"/>
        <v>50273.470621820314</v>
      </c>
      <c r="F25" s="10">
        <f t="shared" si="1"/>
        <v>181335.23244268552</v>
      </c>
      <c r="G25" s="12">
        <f t="shared" si="2"/>
        <v>10.825232793925942</v>
      </c>
      <c r="H25" s="12">
        <f t="shared" si="3"/>
        <v>12.108102710144644</v>
      </c>
      <c r="J25" s="5" t="s">
        <v>200</v>
      </c>
      <c r="K25" s="3">
        <f>L13+K13*K22</f>
        <v>20788.328170837514</v>
      </c>
    </row>
    <row r="26" spans="1:18" x14ac:dyDescent="0.3">
      <c r="A26" t="s">
        <v>28</v>
      </c>
      <c r="B26" s="4">
        <v>98835.7109375</v>
      </c>
      <c r="C26" s="3">
        <v>11.5131</v>
      </c>
      <c r="D26" s="4">
        <v>215585.53125</v>
      </c>
      <c r="E26" s="10">
        <f t="shared" si="0"/>
        <v>8584.6306327140392</v>
      </c>
      <c r="F26" s="10">
        <f t="shared" si="1"/>
        <v>18725.237446908304</v>
      </c>
      <c r="G26" s="12">
        <f t="shared" si="2"/>
        <v>9.0577287476784427</v>
      </c>
      <c r="H26" s="12">
        <f t="shared" si="3"/>
        <v>9.8376274890477866</v>
      </c>
      <c r="J26" s="5" t="s">
        <v>201</v>
      </c>
      <c r="K26" s="3">
        <f>EXP(N13+M13*K22)</f>
        <v>11954.704046650677</v>
      </c>
    </row>
    <row r="27" spans="1:18" x14ac:dyDescent="0.3">
      <c r="A27" t="s">
        <v>29</v>
      </c>
      <c r="B27" s="4">
        <v>3080048.5</v>
      </c>
      <c r="C27" s="3">
        <v>211.04952699999998</v>
      </c>
      <c r="D27" s="4">
        <v>13677292</v>
      </c>
      <c r="E27" s="10">
        <f t="shared" si="0"/>
        <v>14593.960686772827</v>
      </c>
      <c r="F27" s="10">
        <f t="shared" si="1"/>
        <v>64806.077485309885</v>
      </c>
      <c r="G27" s="12">
        <f t="shared" si="2"/>
        <v>9.5883630705281053</v>
      </c>
      <c r="H27" s="12">
        <f t="shared" si="3"/>
        <v>11.079154666296061</v>
      </c>
      <c r="J27" s="5" t="s">
        <v>202</v>
      </c>
      <c r="K27" s="3">
        <f>P13 + O13*LN(K22)</f>
        <v>30234.581932529938</v>
      </c>
    </row>
    <row r="28" spans="1:18" x14ac:dyDescent="0.3">
      <c r="A28" t="s">
        <v>30</v>
      </c>
      <c r="B28" s="4">
        <v>3506.66796875</v>
      </c>
      <c r="C28" s="3">
        <v>0.28702499999999997</v>
      </c>
      <c r="D28" s="4">
        <v>33888.2109375</v>
      </c>
      <c r="E28" s="10">
        <f t="shared" si="0"/>
        <v>12217.291067851234</v>
      </c>
      <c r="F28" s="10">
        <f t="shared" si="1"/>
        <v>118067.10543506664</v>
      </c>
      <c r="G28" s="12">
        <f t="shared" si="2"/>
        <v>9.4106075279423234</v>
      </c>
      <c r="H28" s="12">
        <f t="shared" si="3"/>
        <v>11.679008431932536</v>
      </c>
      <c r="J28" s="5" t="s">
        <v>203</v>
      </c>
      <c r="K28" s="3">
        <f>EXP(R13)*K22^Q13</f>
        <v>21424.186046918217</v>
      </c>
    </row>
    <row r="29" spans="1:18" x14ac:dyDescent="0.3">
      <c r="A29" t="s">
        <v>31</v>
      </c>
      <c r="B29" s="4">
        <v>31737.7734375</v>
      </c>
      <c r="C29" s="3">
        <v>0.43328499999999998</v>
      </c>
      <c r="D29" s="4">
        <v>200159.765625</v>
      </c>
      <c r="E29" s="10">
        <f t="shared" si="0"/>
        <v>73249.18572648488</v>
      </c>
      <c r="F29" s="10">
        <f t="shared" si="1"/>
        <v>461958.67760250182</v>
      </c>
      <c r="G29" s="12">
        <f t="shared" si="2"/>
        <v>11.201622410455546</v>
      </c>
      <c r="H29" s="12">
        <f t="shared" si="3"/>
        <v>13.043230723644838</v>
      </c>
    </row>
    <row r="30" spans="1:18" x14ac:dyDescent="0.3">
      <c r="A30" t="s">
        <v>32</v>
      </c>
      <c r="B30" s="4">
        <v>8987.9990234375</v>
      </c>
      <c r="C30" s="3">
        <v>0.76309199999999999</v>
      </c>
      <c r="D30" s="4">
        <v>61204.94140625</v>
      </c>
      <c r="E30" s="10">
        <f t="shared" si="0"/>
        <v>11778.395034199677</v>
      </c>
      <c r="F30" s="10">
        <f t="shared" si="1"/>
        <v>80206.503811139424</v>
      </c>
      <c r="G30" s="12">
        <f t="shared" si="2"/>
        <v>9.3740222029488276</v>
      </c>
      <c r="H30" s="12">
        <f t="shared" si="3"/>
        <v>11.29235988546858</v>
      </c>
    </row>
    <row r="31" spans="1:18" x14ac:dyDescent="0.3">
      <c r="A31" t="s">
        <v>33</v>
      </c>
      <c r="B31" s="4">
        <v>37975.0078125</v>
      </c>
      <c r="C31" s="3">
        <v>2.3036970000000001</v>
      </c>
      <c r="D31" s="4">
        <v>186374.640625</v>
      </c>
      <c r="E31" s="10">
        <f t="shared" si="0"/>
        <v>16484.376119125041</v>
      </c>
      <c r="F31" s="10">
        <f t="shared" si="1"/>
        <v>80902.410614329914</v>
      </c>
      <c r="G31" s="12">
        <f t="shared" si="2"/>
        <v>9.7101683094226789</v>
      </c>
      <c r="H31" s="12">
        <f t="shared" si="3"/>
        <v>11.300998900060373</v>
      </c>
    </row>
    <row r="32" spans="1:18" x14ac:dyDescent="0.3">
      <c r="A32" t="s">
        <v>34</v>
      </c>
      <c r="B32" s="4">
        <v>4642.44873046875</v>
      </c>
      <c r="C32" s="3">
        <v>4.7451850000000002</v>
      </c>
      <c r="D32" s="4">
        <v>31822.447265625</v>
      </c>
      <c r="E32" s="10">
        <f t="shared" si="0"/>
        <v>978.34936477055157</v>
      </c>
      <c r="F32" s="10">
        <f t="shared" si="1"/>
        <v>6706.2606127316421</v>
      </c>
      <c r="G32" s="12">
        <f t="shared" si="2"/>
        <v>6.8858668299373962</v>
      </c>
      <c r="H32" s="12">
        <f t="shared" si="3"/>
        <v>8.810796788891329</v>
      </c>
    </row>
    <row r="33" spans="1:8" x14ac:dyDescent="0.3">
      <c r="A33" t="s">
        <v>35</v>
      </c>
      <c r="B33" s="4">
        <v>1866214.875</v>
      </c>
      <c r="C33" s="3">
        <v>37.411046999999996</v>
      </c>
      <c r="D33" s="4">
        <v>8721110</v>
      </c>
      <c r="E33" s="10">
        <f t="shared" si="0"/>
        <v>49884.058978622015</v>
      </c>
      <c r="F33" s="10">
        <f t="shared" si="1"/>
        <v>233115.90290429458</v>
      </c>
      <c r="G33" s="12">
        <f t="shared" si="2"/>
        <v>10.817456771355351</v>
      </c>
      <c r="H33" s="12">
        <f t="shared" si="3"/>
        <v>12.359291046224376</v>
      </c>
    </row>
    <row r="34" spans="1:8" x14ac:dyDescent="0.3">
      <c r="A34" t="s">
        <v>36</v>
      </c>
      <c r="B34" s="4">
        <v>646919.625</v>
      </c>
      <c r="C34" s="3">
        <v>8.5913649999999997</v>
      </c>
      <c r="D34" s="4">
        <v>3225664.25</v>
      </c>
      <c r="E34" s="10">
        <f t="shared" si="0"/>
        <v>75298.817475453558</v>
      </c>
      <c r="F34" s="10">
        <f t="shared" si="1"/>
        <v>375454.22060406004</v>
      </c>
      <c r="G34" s="12">
        <f t="shared" si="2"/>
        <v>11.229219709487429</v>
      </c>
      <c r="H34" s="12">
        <f t="shared" si="3"/>
        <v>12.83589182691926</v>
      </c>
    </row>
    <row r="35" spans="1:8" x14ac:dyDescent="0.3">
      <c r="A35" t="s">
        <v>37</v>
      </c>
      <c r="B35" s="4">
        <v>440683.34375</v>
      </c>
      <c r="C35" s="3">
        <v>18.952037999999998</v>
      </c>
      <c r="D35" s="4">
        <v>2075795.25</v>
      </c>
      <c r="E35" s="10">
        <f t="shared" si="0"/>
        <v>23252.556994134353</v>
      </c>
      <c r="F35" s="10">
        <f t="shared" si="1"/>
        <v>109528.86702738778</v>
      </c>
      <c r="G35" s="12">
        <f t="shared" si="2"/>
        <v>10.054170383210677</v>
      </c>
      <c r="H35" s="12">
        <f t="shared" si="3"/>
        <v>11.603943419316405</v>
      </c>
    </row>
    <row r="36" spans="1:8" x14ac:dyDescent="0.3">
      <c r="A36" t="s">
        <v>38</v>
      </c>
      <c r="B36" s="4">
        <v>20257660</v>
      </c>
      <c r="C36" s="3">
        <v>1433.783686</v>
      </c>
      <c r="D36" s="4">
        <v>81598696</v>
      </c>
      <c r="E36" s="10">
        <f t="shared" si="0"/>
        <v>14128.811896664307</v>
      </c>
      <c r="F36" s="10">
        <f t="shared" si="1"/>
        <v>56911.441242329769</v>
      </c>
      <c r="G36" s="12">
        <f t="shared" si="2"/>
        <v>9.555971388397003</v>
      </c>
      <c r="H36" s="12">
        <f t="shared" si="3"/>
        <v>10.9492516762164</v>
      </c>
    </row>
    <row r="37" spans="1:8" x14ac:dyDescent="0.3">
      <c r="A37" t="s">
        <v>39</v>
      </c>
      <c r="B37" s="4">
        <v>129491.7734375</v>
      </c>
      <c r="C37" s="3">
        <v>25.716543999999999</v>
      </c>
      <c r="D37" s="4">
        <v>255208.828125</v>
      </c>
      <c r="E37" s="10">
        <f t="shared" si="0"/>
        <v>5035.3489736995771</v>
      </c>
      <c r="F37" s="10">
        <f t="shared" si="1"/>
        <v>9923.9162200410756</v>
      </c>
      <c r="G37" s="12">
        <f t="shared" si="2"/>
        <v>8.5242381123237703</v>
      </c>
      <c r="H37" s="12">
        <f t="shared" si="3"/>
        <v>9.2027029026197766</v>
      </c>
    </row>
    <row r="38" spans="1:8" x14ac:dyDescent="0.3">
      <c r="A38" t="s">
        <v>40</v>
      </c>
      <c r="B38" s="4">
        <v>94487.5234375</v>
      </c>
      <c r="C38" s="3">
        <v>25.876379999999997</v>
      </c>
      <c r="D38" s="4">
        <v>249906.453125</v>
      </c>
      <c r="E38" s="10">
        <f t="shared" si="0"/>
        <v>3651.4969805475112</v>
      </c>
      <c r="F38" s="10">
        <f t="shared" si="1"/>
        <v>9657.705333010259</v>
      </c>
      <c r="G38" s="12">
        <f t="shared" si="2"/>
        <v>8.2028924941523904</v>
      </c>
      <c r="H38" s="12">
        <f t="shared" si="3"/>
        <v>9.1755113558220778</v>
      </c>
    </row>
    <row r="39" spans="1:8" x14ac:dyDescent="0.3">
      <c r="A39" t="s">
        <v>41</v>
      </c>
      <c r="B39" s="4">
        <v>88673.375</v>
      </c>
      <c r="C39" s="3">
        <v>86.790566999999996</v>
      </c>
      <c r="D39" s="4">
        <v>270620.84375</v>
      </c>
      <c r="E39" s="10">
        <f t="shared" si="0"/>
        <v>1021.6936939702215</v>
      </c>
      <c r="F39" s="10">
        <f t="shared" si="1"/>
        <v>3118.0905149519303</v>
      </c>
      <c r="G39" s="12">
        <f t="shared" si="2"/>
        <v>6.9292170134830204</v>
      </c>
      <c r="H39" s="12">
        <f t="shared" si="3"/>
        <v>8.0449760790077605</v>
      </c>
    </row>
    <row r="40" spans="1:8" x14ac:dyDescent="0.3">
      <c r="A40" t="s">
        <v>42</v>
      </c>
      <c r="B40" s="4">
        <v>25057.650390625</v>
      </c>
      <c r="C40" s="3">
        <v>5.3805079999999998</v>
      </c>
      <c r="D40" s="4">
        <v>141415.140625</v>
      </c>
      <c r="E40" s="10">
        <f t="shared" si="0"/>
        <v>4657.1160921282899</v>
      </c>
      <c r="F40" s="10">
        <f t="shared" si="1"/>
        <v>26282.860396267417</v>
      </c>
      <c r="G40" s="12">
        <f t="shared" si="2"/>
        <v>8.4461516711939542</v>
      </c>
      <c r="H40" s="12">
        <f t="shared" si="3"/>
        <v>10.176672309760326</v>
      </c>
    </row>
    <row r="41" spans="1:8" x14ac:dyDescent="0.3">
      <c r="A41" t="s">
        <v>43</v>
      </c>
      <c r="B41" s="4">
        <v>707659.625</v>
      </c>
      <c r="C41" s="3">
        <v>50.339442999999996</v>
      </c>
      <c r="D41" s="4">
        <v>2194572.75</v>
      </c>
      <c r="E41" s="10">
        <f t="shared" si="0"/>
        <v>14057.756360156787</v>
      </c>
      <c r="F41" s="10">
        <f t="shared" si="1"/>
        <v>43595.491312845879</v>
      </c>
      <c r="G41" s="12">
        <f t="shared" si="2"/>
        <v>9.5509295765397706</v>
      </c>
      <c r="H41" s="12">
        <f t="shared" si="3"/>
        <v>10.682709013734089</v>
      </c>
    </row>
    <row r="42" spans="1:8" x14ac:dyDescent="0.3">
      <c r="A42" t="s">
        <v>44</v>
      </c>
      <c r="B42" s="4">
        <v>2730.402587890625</v>
      </c>
      <c r="C42" s="3">
        <v>0.85088599999999992</v>
      </c>
      <c r="D42" s="4">
        <v>12915.603515625</v>
      </c>
      <c r="E42" s="10">
        <f t="shared" si="0"/>
        <v>3208.8935390764746</v>
      </c>
      <c r="F42" s="10">
        <f t="shared" si="1"/>
        <v>15179.005784117968</v>
      </c>
      <c r="G42" s="12">
        <f t="shared" si="2"/>
        <v>8.0736814648276738</v>
      </c>
      <c r="H42" s="12">
        <f t="shared" si="3"/>
        <v>9.6276685536873288</v>
      </c>
    </row>
    <row r="43" spans="1:8" x14ac:dyDescent="0.3">
      <c r="A43" t="s">
        <v>45</v>
      </c>
      <c r="B43" s="4">
        <v>3998.619384765625</v>
      </c>
      <c r="C43" s="3">
        <v>0.54993499999999995</v>
      </c>
      <c r="D43" s="4">
        <v>19152.576171875</v>
      </c>
      <c r="E43" s="10">
        <f t="shared" si="0"/>
        <v>7271.076372236038</v>
      </c>
      <c r="F43" s="10">
        <f t="shared" si="1"/>
        <v>34826.98168306255</v>
      </c>
      <c r="G43" s="12">
        <f t="shared" si="2"/>
        <v>8.8916596162719728</v>
      </c>
      <c r="H43" s="12">
        <f t="shared" si="3"/>
        <v>10.458147701065288</v>
      </c>
    </row>
    <row r="44" spans="1:8" x14ac:dyDescent="0.3">
      <c r="A44" t="s">
        <v>46</v>
      </c>
      <c r="B44" s="4">
        <v>93491.828125</v>
      </c>
      <c r="C44" s="3">
        <v>5.047561</v>
      </c>
      <c r="D44" s="4">
        <v>236104.796875</v>
      </c>
      <c r="E44" s="10">
        <f t="shared" si="0"/>
        <v>18522.178954350427</v>
      </c>
      <c r="F44" s="10">
        <f t="shared" si="1"/>
        <v>46776.016550369575</v>
      </c>
      <c r="G44" s="12">
        <f t="shared" si="2"/>
        <v>9.8267241554020597</v>
      </c>
      <c r="H44" s="12">
        <f t="shared" si="3"/>
        <v>10.753125883677267</v>
      </c>
    </row>
    <row r="45" spans="1:8" x14ac:dyDescent="0.3">
      <c r="A45" t="s">
        <v>47</v>
      </c>
      <c r="B45" s="4">
        <v>4004.114990234375</v>
      </c>
      <c r="C45" s="3">
        <v>6.4947999999999992E-2</v>
      </c>
      <c r="D45" s="4">
        <v>16056.451171875</v>
      </c>
      <c r="E45" s="10">
        <f t="shared" si="0"/>
        <v>61651.089952490845</v>
      </c>
      <c r="F45" s="10">
        <f t="shared" si="1"/>
        <v>247220.10180259595</v>
      </c>
      <c r="G45" s="12">
        <f t="shared" si="2"/>
        <v>11.029246188119757</v>
      </c>
      <c r="H45" s="12">
        <f t="shared" si="3"/>
        <v>12.418034319231213</v>
      </c>
    </row>
    <row r="46" spans="1:8" x14ac:dyDescent="0.3">
      <c r="A46" t="s">
        <v>48</v>
      </c>
      <c r="B46" s="4">
        <v>28053.96875</v>
      </c>
      <c r="C46" s="3">
        <v>0.86849499999999991</v>
      </c>
      <c r="D46" s="4">
        <v>214205.09375</v>
      </c>
      <c r="E46" s="10">
        <f t="shared" si="0"/>
        <v>32301.819526882715</v>
      </c>
      <c r="F46" s="10">
        <f t="shared" si="1"/>
        <v>246639.40926545349</v>
      </c>
      <c r="G46" s="12">
        <f t="shared" si="2"/>
        <v>10.382878839725787</v>
      </c>
      <c r="H46" s="12">
        <f t="shared" si="3"/>
        <v>12.415682667428447</v>
      </c>
    </row>
    <row r="47" spans="1:8" x14ac:dyDescent="0.3">
      <c r="A47" t="s">
        <v>49</v>
      </c>
      <c r="B47" s="4">
        <v>401072.21875</v>
      </c>
      <c r="C47" s="3">
        <v>10.689209</v>
      </c>
      <c r="D47" s="4">
        <v>2375330.5</v>
      </c>
      <c r="E47" s="10">
        <f t="shared" si="0"/>
        <v>37521.225260915002</v>
      </c>
      <c r="F47" s="10">
        <f t="shared" si="1"/>
        <v>222217.6121731739</v>
      </c>
      <c r="G47" s="12">
        <f t="shared" si="2"/>
        <v>10.532662058794715</v>
      </c>
      <c r="H47" s="12">
        <f t="shared" si="3"/>
        <v>12.311412415752098</v>
      </c>
    </row>
    <row r="48" spans="1:8" x14ac:dyDescent="0.3">
      <c r="A48" t="s">
        <v>50</v>
      </c>
      <c r="B48" s="4">
        <v>4275312</v>
      </c>
      <c r="C48" s="3">
        <v>83.517044999999996</v>
      </c>
      <c r="D48" s="4">
        <v>20907856</v>
      </c>
      <c r="E48" s="10">
        <f t="shared" si="0"/>
        <v>51190.891631762119</v>
      </c>
      <c r="F48" s="10">
        <f t="shared" si="1"/>
        <v>250342.3822047344</v>
      </c>
      <c r="G48" s="12">
        <f t="shared" si="2"/>
        <v>10.84331689738476</v>
      </c>
      <c r="H48" s="12">
        <f t="shared" si="3"/>
        <v>12.430584788714084</v>
      </c>
    </row>
    <row r="49" spans="1:8" x14ac:dyDescent="0.3">
      <c r="A49" t="s">
        <v>51</v>
      </c>
      <c r="B49" s="4">
        <v>5970.28173828125</v>
      </c>
      <c r="C49" s="3">
        <v>0.97355999999999998</v>
      </c>
      <c r="D49" s="4">
        <v>11176.517578125</v>
      </c>
      <c r="E49" s="10">
        <f t="shared" si="0"/>
        <v>6132.423002466463</v>
      </c>
      <c r="F49" s="10">
        <f t="shared" si="1"/>
        <v>11480.050102844201</v>
      </c>
      <c r="G49" s="12">
        <f t="shared" si="2"/>
        <v>8.7213452204022044</v>
      </c>
      <c r="H49" s="12">
        <f t="shared" si="3"/>
        <v>9.3483660342232842</v>
      </c>
    </row>
    <row r="50" spans="1:8" x14ac:dyDescent="0.3">
      <c r="A50" t="s">
        <v>52</v>
      </c>
      <c r="B50" s="4">
        <v>741.61419677734375</v>
      </c>
      <c r="C50" s="3">
        <v>7.1807999999999997E-2</v>
      </c>
      <c r="D50" s="4">
        <v>2821.0693359375</v>
      </c>
      <c r="E50" s="10">
        <f t="shared" si="0"/>
        <v>10327.737811627449</v>
      </c>
      <c r="F50" s="10">
        <f t="shared" si="1"/>
        <v>39286.281973282923</v>
      </c>
      <c r="G50" s="12">
        <f t="shared" si="2"/>
        <v>9.2425885460333923</v>
      </c>
      <c r="H50" s="12">
        <f t="shared" si="3"/>
        <v>10.578630677718012</v>
      </c>
    </row>
    <row r="51" spans="1:8" x14ac:dyDescent="0.3">
      <c r="A51" t="s">
        <v>53</v>
      </c>
      <c r="B51" s="4">
        <v>311838</v>
      </c>
      <c r="C51" s="3">
        <v>5.7718759999999998</v>
      </c>
      <c r="D51" s="4">
        <v>1594880</v>
      </c>
      <c r="E51" s="10">
        <f t="shared" si="0"/>
        <v>54027.148192372813</v>
      </c>
      <c r="F51" s="10">
        <f t="shared" si="1"/>
        <v>276319.17248395499</v>
      </c>
      <c r="G51" s="12">
        <f t="shared" si="2"/>
        <v>10.897241943516034</v>
      </c>
      <c r="H51" s="12">
        <f t="shared" si="3"/>
        <v>12.529311898601684</v>
      </c>
    </row>
    <row r="52" spans="1:8" x14ac:dyDescent="0.3">
      <c r="A52" t="s">
        <v>54</v>
      </c>
      <c r="B52" s="4">
        <v>192514.5</v>
      </c>
      <c r="C52" s="3">
        <v>10.738958</v>
      </c>
      <c r="D52" s="4">
        <v>774569</v>
      </c>
      <c r="E52" s="10">
        <f t="shared" si="0"/>
        <v>17926.739260922706</v>
      </c>
      <c r="F52" s="10">
        <f t="shared" si="1"/>
        <v>72127.016420028827</v>
      </c>
      <c r="G52" s="12">
        <f t="shared" si="2"/>
        <v>9.7940486906587836</v>
      </c>
      <c r="H52" s="12">
        <f t="shared" si="3"/>
        <v>11.186183960716363</v>
      </c>
    </row>
    <row r="53" spans="1:8" x14ac:dyDescent="0.3">
      <c r="A53" t="s">
        <v>55</v>
      </c>
      <c r="B53" s="4">
        <v>507487.5625</v>
      </c>
      <c r="C53" s="3">
        <v>43.053053999999996</v>
      </c>
      <c r="D53" s="4">
        <v>2487455.5</v>
      </c>
      <c r="E53" s="10">
        <f t="shared" si="0"/>
        <v>11787.492764160239</v>
      </c>
      <c r="F53" s="10">
        <f t="shared" si="1"/>
        <v>57776.516852904329</v>
      </c>
      <c r="G53" s="12">
        <f t="shared" si="2"/>
        <v>9.3747943130844931</v>
      </c>
      <c r="H53" s="12">
        <f t="shared" si="3"/>
        <v>10.964337689283518</v>
      </c>
    </row>
    <row r="54" spans="1:8" x14ac:dyDescent="0.3">
      <c r="A54" t="s">
        <v>56</v>
      </c>
      <c r="B54" s="4">
        <v>195204.015625</v>
      </c>
      <c r="C54" s="3">
        <v>17.373661999999999</v>
      </c>
      <c r="D54" s="4">
        <v>1162897.25</v>
      </c>
      <c r="E54" s="10">
        <f t="shared" si="0"/>
        <v>11235.62871345143</v>
      </c>
      <c r="F54" s="10">
        <f t="shared" si="1"/>
        <v>66934.492566967179</v>
      </c>
      <c r="G54" s="12">
        <f t="shared" si="2"/>
        <v>9.3268451433075121</v>
      </c>
      <c r="H54" s="12">
        <f t="shared" si="3"/>
        <v>11.111469697209223</v>
      </c>
    </row>
    <row r="55" spans="1:8" x14ac:dyDescent="0.3">
      <c r="A55" t="s">
        <v>57</v>
      </c>
      <c r="B55" s="4">
        <v>1210669.75</v>
      </c>
      <c r="C55" s="3">
        <v>100.38807299999999</v>
      </c>
      <c r="D55" s="4">
        <v>1822150.375</v>
      </c>
      <c r="E55" s="10">
        <f t="shared" si="0"/>
        <v>12059.896298636992</v>
      </c>
      <c r="F55" s="10">
        <f t="shared" si="1"/>
        <v>18151.064369967538</v>
      </c>
      <c r="G55" s="12">
        <f t="shared" si="2"/>
        <v>9.3976408714578881</v>
      </c>
      <c r="H55" s="12">
        <f t="shared" si="3"/>
        <v>9.8064844809469829</v>
      </c>
    </row>
    <row r="56" spans="1:8" x14ac:dyDescent="0.3">
      <c r="A56" t="s">
        <v>58</v>
      </c>
      <c r="B56" s="4">
        <v>1886595.25</v>
      </c>
      <c r="C56" s="3">
        <v>46.736775999999999</v>
      </c>
      <c r="D56" s="4">
        <v>11827519</v>
      </c>
      <c r="E56" s="10">
        <f t="shared" si="0"/>
        <v>40366.396903372195</v>
      </c>
      <c r="F56" s="10">
        <f t="shared" si="1"/>
        <v>253066.64285101736</v>
      </c>
      <c r="G56" s="12">
        <f t="shared" si="2"/>
        <v>10.605752958027594</v>
      </c>
      <c r="H56" s="12">
        <f t="shared" si="3"/>
        <v>12.441408143501537</v>
      </c>
    </row>
    <row r="57" spans="1:8" x14ac:dyDescent="0.3">
      <c r="A57" t="s">
        <v>59</v>
      </c>
      <c r="B57" s="4">
        <v>44876.34765625</v>
      </c>
      <c r="C57" s="3">
        <v>1.3256479999999999</v>
      </c>
      <c r="D57" s="4">
        <v>219444.09375</v>
      </c>
      <c r="E57" s="10">
        <f t="shared" si="0"/>
        <v>33852.385894483305</v>
      </c>
      <c r="F57" s="10">
        <f t="shared" si="1"/>
        <v>165537.22688828409</v>
      </c>
      <c r="G57" s="12">
        <f t="shared" si="2"/>
        <v>10.429764760183941</v>
      </c>
      <c r="H57" s="12">
        <f t="shared" si="3"/>
        <v>12.016951384385843</v>
      </c>
    </row>
    <row r="58" spans="1:8" x14ac:dyDescent="0.3">
      <c r="A58" t="s">
        <v>60</v>
      </c>
      <c r="B58" s="4">
        <v>304937.21875</v>
      </c>
      <c r="C58" s="3">
        <v>112.07872999999999</v>
      </c>
      <c r="D58" s="4">
        <v>648750.0625</v>
      </c>
      <c r="E58" s="10">
        <f t="shared" si="0"/>
        <v>2720.7412035271991</v>
      </c>
      <c r="F58" s="10">
        <f t="shared" si="1"/>
        <v>5788.3423777196622</v>
      </c>
      <c r="G58" s="12">
        <f t="shared" si="2"/>
        <v>7.9086596234650726</v>
      </c>
      <c r="H58" s="12">
        <f t="shared" si="3"/>
        <v>8.6636012390287966</v>
      </c>
    </row>
    <row r="59" spans="1:8" x14ac:dyDescent="0.3">
      <c r="A59" t="s">
        <v>61</v>
      </c>
      <c r="B59" s="4">
        <v>248551.546875</v>
      </c>
      <c r="C59" s="3">
        <v>5.5321559999999996</v>
      </c>
      <c r="D59" s="4">
        <v>1281196.625</v>
      </c>
      <c r="E59" s="10">
        <f t="shared" si="0"/>
        <v>44928.513743104864</v>
      </c>
      <c r="F59" s="10">
        <f t="shared" si="1"/>
        <v>231590.83456793337</v>
      </c>
      <c r="G59" s="12">
        <f t="shared" si="2"/>
        <v>10.712827922129241</v>
      </c>
      <c r="H59" s="12">
        <f t="shared" si="3"/>
        <v>12.352727449493457</v>
      </c>
    </row>
    <row r="60" spans="1:8" x14ac:dyDescent="0.3">
      <c r="A60" t="s">
        <v>62</v>
      </c>
      <c r="B60" s="4">
        <v>12240.177734375</v>
      </c>
      <c r="C60" s="3">
        <v>0.88995299999999999</v>
      </c>
      <c r="D60" s="4">
        <v>28567.255859375</v>
      </c>
      <c r="E60" s="10">
        <f t="shared" si="0"/>
        <v>13753.735011146657</v>
      </c>
      <c r="F60" s="10">
        <f t="shared" si="1"/>
        <v>32099.735446001083</v>
      </c>
      <c r="G60" s="12">
        <f t="shared" si="2"/>
        <v>9.5290657033823223</v>
      </c>
      <c r="H60" s="12">
        <f t="shared" si="3"/>
        <v>10.376603067526547</v>
      </c>
    </row>
    <row r="61" spans="1:8" x14ac:dyDescent="0.3">
      <c r="A61" t="s">
        <v>63</v>
      </c>
      <c r="B61" s="4">
        <v>2946958.25</v>
      </c>
      <c r="C61" s="3">
        <v>67.351247000000001</v>
      </c>
      <c r="D61" s="4">
        <v>17987254</v>
      </c>
      <c r="E61" s="10">
        <f t="shared" si="0"/>
        <v>43755.065886159464</v>
      </c>
      <c r="F61" s="10">
        <f t="shared" si="1"/>
        <v>267066.38408640004</v>
      </c>
      <c r="G61" s="12">
        <f t="shared" si="2"/>
        <v>10.686362676766066</v>
      </c>
      <c r="H61" s="12">
        <f t="shared" si="3"/>
        <v>12.495252536016265</v>
      </c>
    </row>
    <row r="62" spans="1:8" x14ac:dyDescent="0.3">
      <c r="A62" t="s">
        <v>64</v>
      </c>
      <c r="B62" s="4">
        <v>33658.0859375</v>
      </c>
      <c r="C62" s="3">
        <v>2.1725789999999998</v>
      </c>
      <c r="D62" s="4">
        <v>128428.125</v>
      </c>
      <c r="E62" s="10">
        <f t="shared" si="0"/>
        <v>15492.226490958443</v>
      </c>
      <c r="F62" s="10">
        <f t="shared" si="1"/>
        <v>59113.212914236952</v>
      </c>
      <c r="G62" s="12">
        <f t="shared" si="2"/>
        <v>9.6480936603934104</v>
      </c>
      <c r="H62" s="12">
        <f t="shared" si="3"/>
        <v>10.987209747175232</v>
      </c>
    </row>
    <row r="63" spans="1:8" x14ac:dyDescent="0.3">
      <c r="A63" t="s">
        <v>65</v>
      </c>
      <c r="B63" s="4">
        <v>2989895.5</v>
      </c>
      <c r="C63" s="3">
        <v>67.530171999999993</v>
      </c>
      <c r="D63" s="4">
        <v>15302676</v>
      </c>
      <c r="E63" s="10">
        <f t="shared" si="0"/>
        <v>44274.957570076978</v>
      </c>
      <c r="F63" s="10">
        <f t="shared" si="1"/>
        <v>226605.02034557238</v>
      </c>
      <c r="G63" s="12">
        <f t="shared" si="2"/>
        <v>10.698174504323687</v>
      </c>
      <c r="H63" s="12">
        <f t="shared" si="3"/>
        <v>12.330963782430235</v>
      </c>
    </row>
    <row r="64" spans="1:8" x14ac:dyDescent="0.3">
      <c r="A64" t="s">
        <v>66</v>
      </c>
      <c r="B64" s="4">
        <v>68167.484375</v>
      </c>
      <c r="C64" s="3">
        <v>3.9967649999999999</v>
      </c>
      <c r="D64" s="4">
        <v>297316.03125</v>
      </c>
      <c r="E64" s="10">
        <f t="shared" si="0"/>
        <v>17055.664862707716</v>
      </c>
      <c r="F64" s="10">
        <f t="shared" si="1"/>
        <v>74389.170053780996</v>
      </c>
      <c r="G64" s="12">
        <f t="shared" si="2"/>
        <v>9.7442376775410331</v>
      </c>
      <c r="H64" s="12">
        <f t="shared" si="3"/>
        <v>11.217065646432481</v>
      </c>
    </row>
    <row r="65" spans="1:8" x14ac:dyDescent="0.3">
      <c r="A65" t="s">
        <v>67</v>
      </c>
      <c r="B65" s="4">
        <v>163139.15625</v>
      </c>
      <c r="C65" s="3">
        <v>30.417855999999997</v>
      </c>
      <c r="D65" s="4">
        <v>421221.90625</v>
      </c>
      <c r="E65" s="10">
        <f t="shared" si="0"/>
        <v>5363.2693984086191</v>
      </c>
      <c r="F65" s="10">
        <f t="shared" si="1"/>
        <v>13847.849968452741</v>
      </c>
      <c r="G65" s="12">
        <f t="shared" si="2"/>
        <v>8.5873290305030689</v>
      </c>
      <c r="H65" s="12">
        <f t="shared" si="3"/>
        <v>9.5358852626301651</v>
      </c>
    </row>
    <row r="66" spans="1:8" x14ac:dyDescent="0.3">
      <c r="A66" t="s">
        <v>68</v>
      </c>
      <c r="B66" s="4">
        <v>29205.3515625</v>
      </c>
      <c r="C66" s="3">
        <v>12.771246</v>
      </c>
      <c r="D66" s="4">
        <v>56857.5390625</v>
      </c>
      <c r="E66" s="10">
        <f t="shared" si="0"/>
        <v>2286.8051842788091</v>
      </c>
      <c r="F66" s="10">
        <f t="shared" si="1"/>
        <v>4451.9962314170443</v>
      </c>
      <c r="G66" s="12">
        <f t="shared" si="2"/>
        <v>7.7349110064323794</v>
      </c>
      <c r="H66" s="12">
        <f t="shared" si="3"/>
        <v>8.401107865902949</v>
      </c>
    </row>
    <row r="67" spans="1:8" x14ac:dyDescent="0.3">
      <c r="A67" t="s">
        <v>69</v>
      </c>
      <c r="B67" s="4">
        <v>5655.29296875</v>
      </c>
      <c r="C67" s="3">
        <v>2.3477060000000001</v>
      </c>
      <c r="D67" s="4">
        <v>12008.94140625</v>
      </c>
      <c r="E67" s="10">
        <f t="shared" si="0"/>
        <v>2408.8591027794791</v>
      </c>
      <c r="F67" s="10">
        <f t="shared" si="1"/>
        <v>5115.1811198889463</v>
      </c>
      <c r="G67" s="12">
        <f t="shared" si="2"/>
        <v>7.7869085130585951</v>
      </c>
      <c r="H67" s="12">
        <f t="shared" si="3"/>
        <v>8.5399680873167796</v>
      </c>
    </row>
    <row r="68" spans="1:8" x14ac:dyDescent="0.3">
      <c r="A68" t="s">
        <v>70</v>
      </c>
      <c r="B68" s="4">
        <v>3554.279052734375</v>
      </c>
      <c r="C68" s="3">
        <v>1.920922</v>
      </c>
      <c r="D68" s="4">
        <v>6250.89208984375</v>
      </c>
      <c r="E68" s="10">
        <f t="shared" ref="E68:E131" si="6">B68/C68</f>
        <v>1850.2984778842529</v>
      </c>
      <c r="F68" s="10">
        <f t="shared" ref="F68:F131" si="7">D68/C68</f>
        <v>3254.110312570604</v>
      </c>
      <c r="G68" s="12">
        <f t="shared" ref="G68:G131" si="8">LN(E68)</f>
        <v>7.5231022444554636</v>
      </c>
      <c r="H68" s="12">
        <f t="shared" ref="H68:H131" si="9">LN(F68)</f>
        <v>8.0876741878099647</v>
      </c>
    </row>
    <row r="69" spans="1:8" x14ac:dyDescent="0.3">
      <c r="A69" t="s">
        <v>71</v>
      </c>
      <c r="B69" s="4">
        <v>33510.15625</v>
      </c>
      <c r="C69" s="3">
        <v>1.3559859999999999</v>
      </c>
      <c r="D69" s="4">
        <v>116049.5234375</v>
      </c>
      <c r="E69" s="10">
        <f t="shared" si="6"/>
        <v>24712.759755631698</v>
      </c>
      <c r="F69" s="10">
        <f t="shared" si="7"/>
        <v>85583.128024551886</v>
      </c>
      <c r="G69" s="12">
        <f t="shared" si="8"/>
        <v>10.115074978526582</v>
      </c>
      <c r="H69" s="12">
        <f t="shared" si="9"/>
        <v>11.357243440185663</v>
      </c>
    </row>
    <row r="70" spans="1:8" x14ac:dyDescent="0.3">
      <c r="A70" t="s">
        <v>72</v>
      </c>
      <c r="B70" s="4">
        <v>284893.625</v>
      </c>
      <c r="C70" s="3">
        <v>10.473455</v>
      </c>
      <c r="D70" s="4">
        <v>2565751.25</v>
      </c>
      <c r="E70" s="10">
        <f t="shared" si="6"/>
        <v>27201.494158326932</v>
      </c>
      <c r="F70" s="10">
        <f t="shared" si="7"/>
        <v>244976.5860453881</v>
      </c>
      <c r="G70" s="12">
        <f t="shared" si="8"/>
        <v>10.211027183066797</v>
      </c>
      <c r="H70" s="12">
        <f t="shared" si="9"/>
        <v>12.40891791779835</v>
      </c>
    </row>
    <row r="71" spans="1:8" x14ac:dyDescent="0.3">
      <c r="A71" t="s">
        <v>73</v>
      </c>
      <c r="B71" s="4">
        <v>1721.9656982421875</v>
      </c>
      <c r="C71" s="3">
        <v>0.11200299999999999</v>
      </c>
      <c r="D71" s="4">
        <v>6703.830078125</v>
      </c>
      <c r="E71" s="10">
        <f t="shared" si="6"/>
        <v>15374.281923182305</v>
      </c>
      <c r="F71" s="10">
        <f t="shared" si="7"/>
        <v>59854.022464800051</v>
      </c>
      <c r="G71" s="12">
        <f t="shared" si="8"/>
        <v>9.6404513874007804</v>
      </c>
      <c r="H71" s="12">
        <f t="shared" si="9"/>
        <v>10.999663917830446</v>
      </c>
    </row>
    <row r="72" spans="1:8" x14ac:dyDescent="0.3">
      <c r="A72" t="s">
        <v>74</v>
      </c>
      <c r="B72" s="4">
        <v>136605.015625</v>
      </c>
      <c r="C72" s="3">
        <v>17.581471999999998</v>
      </c>
      <c r="D72" s="4">
        <v>450848.78125</v>
      </c>
      <c r="E72" s="10">
        <f t="shared" si="6"/>
        <v>7769.8281250284399</v>
      </c>
      <c r="F72" s="10">
        <f t="shared" si="7"/>
        <v>25643.403535835911</v>
      </c>
      <c r="G72" s="12">
        <f t="shared" si="8"/>
        <v>8.9580033227860749</v>
      </c>
      <c r="H72" s="12">
        <f t="shared" si="9"/>
        <v>10.152041645432336</v>
      </c>
    </row>
    <row r="73" spans="1:8" x14ac:dyDescent="0.3">
      <c r="A73" t="s">
        <v>75</v>
      </c>
      <c r="B73" s="4">
        <v>407575.75</v>
      </c>
      <c r="C73" s="3">
        <v>7.4361539999999993</v>
      </c>
      <c r="D73" s="4">
        <v>2566180.5</v>
      </c>
      <c r="E73" s="10">
        <f t="shared" si="6"/>
        <v>54810.020072203995</v>
      </c>
      <c r="F73" s="10">
        <f t="shared" si="7"/>
        <v>345095.1257867979</v>
      </c>
      <c r="G73" s="12">
        <f t="shared" si="8"/>
        <v>10.911628304254362</v>
      </c>
      <c r="H73" s="12">
        <f t="shared" si="9"/>
        <v>12.75157538492607</v>
      </c>
    </row>
    <row r="74" spans="1:8" x14ac:dyDescent="0.3">
      <c r="A74" t="s">
        <v>76</v>
      </c>
      <c r="B74" s="4">
        <v>52902.5390625</v>
      </c>
      <c r="C74" s="3">
        <v>9.7461169999999999</v>
      </c>
      <c r="D74" s="4">
        <v>235830.953125</v>
      </c>
      <c r="E74" s="10">
        <f t="shared" si="6"/>
        <v>5428.063203273673</v>
      </c>
      <c r="F74" s="10">
        <f t="shared" si="7"/>
        <v>24197.42684445508</v>
      </c>
      <c r="G74" s="12">
        <f t="shared" si="8"/>
        <v>8.5993376648209559</v>
      </c>
      <c r="H74" s="12">
        <f t="shared" si="9"/>
        <v>10.094001577749951</v>
      </c>
    </row>
    <row r="75" spans="1:8" x14ac:dyDescent="0.3">
      <c r="A75" t="s">
        <v>77</v>
      </c>
      <c r="B75" s="4">
        <v>107392.0390625</v>
      </c>
      <c r="C75" s="3">
        <v>4.1303039999999998</v>
      </c>
      <c r="D75" s="4">
        <v>602383.3125</v>
      </c>
      <c r="E75" s="10">
        <f t="shared" si="6"/>
        <v>26001.001152094374</v>
      </c>
      <c r="F75" s="10">
        <f t="shared" si="7"/>
        <v>145844.78830129697</v>
      </c>
      <c r="G75" s="12">
        <f t="shared" si="8"/>
        <v>10.165890322112071</v>
      </c>
      <c r="H75" s="12">
        <f t="shared" si="9"/>
        <v>11.890298241378687</v>
      </c>
    </row>
    <row r="76" spans="1:8" x14ac:dyDescent="0.3">
      <c r="A76" t="s">
        <v>78</v>
      </c>
      <c r="B76" s="4">
        <v>17503.060546875</v>
      </c>
      <c r="C76" s="3">
        <v>11.263076999999999</v>
      </c>
      <c r="D76" s="4">
        <v>155952.03125</v>
      </c>
      <c r="E76" s="10">
        <f t="shared" si="6"/>
        <v>1554.0212099122648</v>
      </c>
      <c r="F76" s="10">
        <f t="shared" si="7"/>
        <v>13846.307829556703</v>
      </c>
      <c r="G76" s="12">
        <f t="shared" si="8"/>
        <v>7.3486011794266428</v>
      </c>
      <c r="H76" s="12">
        <f t="shared" si="9"/>
        <v>9.5357738933725127</v>
      </c>
    </row>
    <row r="77" spans="1:8" x14ac:dyDescent="0.3">
      <c r="A77" t="s">
        <v>79</v>
      </c>
      <c r="B77" s="4">
        <v>283145.15625</v>
      </c>
      <c r="C77" s="3">
        <v>9.6846789999999991</v>
      </c>
      <c r="D77" s="4">
        <v>1428009.5</v>
      </c>
      <c r="E77" s="10">
        <f t="shared" si="6"/>
        <v>29236.400736668715</v>
      </c>
      <c r="F77" s="10">
        <f t="shared" si="7"/>
        <v>147450.36980575195</v>
      </c>
      <c r="G77" s="12">
        <f t="shared" si="8"/>
        <v>10.28316981246587</v>
      </c>
      <c r="H77" s="12">
        <f t="shared" si="9"/>
        <v>11.90124692224809</v>
      </c>
    </row>
    <row r="78" spans="1:8" x14ac:dyDescent="0.3">
      <c r="A78" t="s">
        <v>80</v>
      </c>
      <c r="B78" s="4">
        <v>3137931</v>
      </c>
      <c r="C78" s="3">
        <v>270.62556799999999</v>
      </c>
      <c r="D78" s="4">
        <v>18173848</v>
      </c>
      <c r="E78" s="10">
        <f t="shared" si="6"/>
        <v>11595.101760673257</v>
      </c>
      <c r="F78" s="10">
        <f t="shared" si="7"/>
        <v>67154.955587936172</v>
      </c>
      <c r="G78" s="12">
        <f t="shared" si="8"/>
        <v>9.3583380259058213</v>
      </c>
      <c r="H78" s="12">
        <f t="shared" si="9"/>
        <v>11.11475799800629</v>
      </c>
    </row>
    <row r="79" spans="1:8" x14ac:dyDescent="0.3">
      <c r="A79" t="s">
        <v>81</v>
      </c>
      <c r="B79" s="4">
        <v>9170555</v>
      </c>
      <c r="C79" s="3">
        <v>1366.4177539999998</v>
      </c>
      <c r="D79" s="4">
        <v>35324128</v>
      </c>
      <c r="E79" s="10">
        <f t="shared" si="6"/>
        <v>6711.3845477742534</v>
      </c>
      <c r="F79" s="10">
        <f t="shared" si="7"/>
        <v>25851.631315967228</v>
      </c>
      <c r="G79" s="12">
        <f t="shared" si="8"/>
        <v>8.8115605496303253</v>
      </c>
      <c r="H79" s="12">
        <f t="shared" si="9"/>
        <v>10.160128984946079</v>
      </c>
    </row>
    <row r="80" spans="1:8" x14ac:dyDescent="0.3">
      <c r="A80" t="s">
        <v>82</v>
      </c>
      <c r="B80" s="4">
        <v>501053.59375</v>
      </c>
      <c r="C80" s="3">
        <v>4.8824949999999996</v>
      </c>
      <c r="D80" s="4">
        <v>1868599.375</v>
      </c>
      <c r="E80" s="10">
        <f t="shared" si="6"/>
        <v>102622.44892211873</v>
      </c>
      <c r="F80" s="10">
        <f t="shared" si="7"/>
        <v>382714.03759758075</v>
      </c>
      <c r="G80" s="12">
        <f t="shared" si="8"/>
        <v>11.538811988196001</v>
      </c>
      <c r="H80" s="12">
        <f t="shared" si="9"/>
        <v>12.855043351163296</v>
      </c>
    </row>
    <row r="81" spans="1:8" x14ac:dyDescent="0.3">
      <c r="A81" t="s">
        <v>83</v>
      </c>
      <c r="B81" s="4">
        <v>1097856.625</v>
      </c>
      <c r="C81" s="3">
        <v>82.913905999999997</v>
      </c>
      <c r="D81" s="4">
        <v>6824485</v>
      </c>
      <c r="E81" s="10">
        <f t="shared" si="6"/>
        <v>13240.922759084586</v>
      </c>
      <c r="F81" s="10">
        <f t="shared" si="7"/>
        <v>82308.087138000716</v>
      </c>
      <c r="G81" s="12">
        <f t="shared" si="8"/>
        <v>9.4910675218573388</v>
      </c>
      <c r="H81" s="12">
        <f t="shared" si="9"/>
        <v>11.318224645968794</v>
      </c>
    </row>
    <row r="82" spans="1:8" x14ac:dyDescent="0.3">
      <c r="A82" t="s">
        <v>84</v>
      </c>
      <c r="B82" s="4">
        <v>468582.53125</v>
      </c>
      <c r="C82" s="3">
        <v>39.309782999999996</v>
      </c>
      <c r="D82" s="4">
        <v>1132113.25</v>
      </c>
      <c r="E82" s="10">
        <f t="shared" si="6"/>
        <v>11920.252300807666</v>
      </c>
      <c r="F82" s="10">
        <f t="shared" si="7"/>
        <v>28799.783758663845</v>
      </c>
      <c r="G82" s="12">
        <f t="shared" si="8"/>
        <v>9.3859941065704806</v>
      </c>
      <c r="H82" s="12">
        <f t="shared" si="9"/>
        <v>10.268123157716122</v>
      </c>
    </row>
    <row r="83" spans="1:8" x14ac:dyDescent="0.3">
      <c r="A83" t="s">
        <v>85</v>
      </c>
      <c r="B83" s="4">
        <v>17972.625</v>
      </c>
      <c r="C83" s="3">
        <v>0.33903099999999997</v>
      </c>
      <c r="D83" s="4">
        <v>93710</v>
      </c>
      <c r="E83" s="10">
        <f t="shared" si="6"/>
        <v>53011.745238636002</v>
      </c>
      <c r="F83" s="10">
        <f t="shared" si="7"/>
        <v>276405.40245582262</v>
      </c>
      <c r="G83" s="12">
        <f t="shared" si="8"/>
        <v>10.878268776258922</v>
      </c>
      <c r="H83" s="12">
        <f t="shared" si="9"/>
        <v>12.529623916472707</v>
      </c>
    </row>
    <row r="84" spans="1:8" x14ac:dyDescent="0.3">
      <c r="A84" t="s">
        <v>86</v>
      </c>
      <c r="B84" s="4">
        <v>328529.53125</v>
      </c>
      <c r="C84" s="3">
        <v>8.5193770000000004</v>
      </c>
      <c r="D84" s="4">
        <v>1226272.125</v>
      </c>
      <c r="E84" s="10">
        <f t="shared" si="6"/>
        <v>38562.623916044562</v>
      </c>
      <c r="F84" s="10">
        <f t="shared" si="7"/>
        <v>143939.17829907045</v>
      </c>
      <c r="G84" s="12">
        <f t="shared" si="8"/>
        <v>10.560038794024612</v>
      </c>
      <c r="H84" s="12">
        <f t="shared" si="9"/>
        <v>11.877146116410447</v>
      </c>
    </row>
    <row r="85" spans="1:8" x14ac:dyDescent="0.3">
      <c r="A85" t="s">
        <v>87</v>
      </c>
      <c r="B85" s="4">
        <v>2466327.5</v>
      </c>
      <c r="C85" s="3">
        <v>60.550075</v>
      </c>
      <c r="D85" s="4">
        <v>18855820</v>
      </c>
      <c r="E85" s="10">
        <f t="shared" si="6"/>
        <v>40732.030472299164</v>
      </c>
      <c r="F85" s="10">
        <f t="shared" si="7"/>
        <v>311408.69767708791</v>
      </c>
      <c r="G85" s="12">
        <f t="shared" si="8"/>
        <v>10.614770051408215</v>
      </c>
      <c r="H85" s="12">
        <f t="shared" si="9"/>
        <v>12.648861468875365</v>
      </c>
    </row>
    <row r="86" spans="1:8" x14ac:dyDescent="0.3">
      <c r="A86" t="s">
        <v>88</v>
      </c>
      <c r="B86" s="4">
        <v>24867.32421875</v>
      </c>
      <c r="C86" s="3">
        <v>2.9482789999999999</v>
      </c>
      <c r="D86" s="4">
        <v>152178.21875</v>
      </c>
      <c r="E86" s="10">
        <f t="shared" si="6"/>
        <v>8434.5220444706902</v>
      </c>
      <c r="F86" s="10">
        <f t="shared" si="7"/>
        <v>51615.949084194544</v>
      </c>
      <c r="G86" s="12">
        <f t="shared" si="8"/>
        <v>9.0400883300042416</v>
      </c>
      <c r="H86" s="12">
        <f t="shared" si="9"/>
        <v>10.851585994489904</v>
      </c>
    </row>
    <row r="87" spans="1:8" x14ac:dyDescent="0.3">
      <c r="A87" t="s">
        <v>89</v>
      </c>
      <c r="B87" s="4">
        <v>108987.234375</v>
      </c>
      <c r="C87" s="3">
        <v>10.101694</v>
      </c>
      <c r="D87" s="4">
        <v>360493.71875</v>
      </c>
      <c r="E87" s="10">
        <f t="shared" si="6"/>
        <v>10789.005722703538</v>
      </c>
      <c r="F87" s="10">
        <f t="shared" si="7"/>
        <v>35686.461968655953</v>
      </c>
      <c r="G87" s="12">
        <f t="shared" si="8"/>
        <v>9.2862829059713992</v>
      </c>
      <c r="H87" s="12">
        <f t="shared" si="9"/>
        <v>10.482526679282687</v>
      </c>
    </row>
    <row r="88" spans="1:8" x14ac:dyDescent="0.3">
      <c r="A88" t="s">
        <v>90</v>
      </c>
      <c r="B88" s="4">
        <v>5036891</v>
      </c>
      <c r="C88" s="3">
        <v>126.86030099999999</v>
      </c>
      <c r="D88" s="4">
        <v>26102878</v>
      </c>
      <c r="E88" s="10">
        <f t="shared" si="6"/>
        <v>39704.233399225501</v>
      </c>
      <c r="F88" s="10">
        <f t="shared" si="7"/>
        <v>205760.80770926125</v>
      </c>
      <c r="G88" s="12">
        <f t="shared" si="8"/>
        <v>10.589213095731399</v>
      </c>
      <c r="H88" s="12">
        <f t="shared" si="9"/>
        <v>12.234469645515819</v>
      </c>
    </row>
    <row r="89" spans="1:8" x14ac:dyDescent="0.3">
      <c r="A89" t="s">
        <v>91</v>
      </c>
      <c r="B89" s="4">
        <v>525124.0625</v>
      </c>
      <c r="C89" s="3">
        <v>18.551427</v>
      </c>
      <c r="D89" s="4">
        <v>1148598.75</v>
      </c>
      <c r="E89" s="10">
        <f t="shared" si="6"/>
        <v>28306.397265288539</v>
      </c>
      <c r="F89" s="10">
        <f t="shared" si="7"/>
        <v>61914.307185102254</v>
      </c>
      <c r="G89" s="12">
        <f t="shared" si="8"/>
        <v>10.250843109862457</v>
      </c>
      <c r="H89" s="12">
        <f t="shared" si="9"/>
        <v>11.033506565811939</v>
      </c>
    </row>
    <row r="90" spans="1:8" x14ac:dyDescent="0.3">
      <c r="A90" t="s">
        <v>92</v>
      </c>
      <c r="B90" s="4">
        <v>222738.46875</v>
      </c>
      <c r="C90" s="3">
        <v>52.573972999999995</v>
      </c>
      <c r="D90" s="4">
        <v>540344.8125</v>
      </c>
      <c r="E90" s="10">
        <f t="shared" si="6"/>
        <v>4236.6679944466059</v>
      </c>
      <c r="F90" s="10">
        <f t="shared" si="7"/>
        <v>10277.800623894262</v>
      </c>
      <c r="G90" s="12">
        <f t="shared" si="8"/>
        <v>8.3515323889173718</v>
      </c>
      <c r="H90" s="12">
        <f t="shared" si="9"/>
        <v>9.2377415690272144</v>
      </c>
    </row>
    <row r="91" spans="1:8" x14ac:dyDescent="0.3">
      <c r="A91" t="s">
        <v>93</v>
      </c>
      <c r="B91" s="4">
        <v>39366.7265625</v>
      </c>
      <c r="C91" s="3">
        <v>6.4158499999999998</v>
      </c>
      <c r="D91" s="4">
        <v>87622.6015625</v>
      </c>
      <c r="E91" s="10">
        <f t="shared" si="6"/>
        <v>6135.8551965055294</v>
      </c>
      <c r="F91" s="10">
        <f t="shared" si="7"/>
        <v>13657.20856355744</v>
      </c>
      <c r="G91" s="12">
        <f t="shared" si="8"/>
        <v>8.7219047437636661</v>
      </c>
      <c r="H91" s="12">
        <f t="shared" si="9"/>
        <v>9.5220227611117494</v>
      </c>
    </row>
    <row r="92" spans="1:8" x14ac:dyDescent="0.3">
      <c r="A92" t="s">
        <v>94</v>
      </c>
      <c r="B92" s="4">
        <v>74190.3046875</v>
      </c>
      <c r="C92" s="3">
        <v>16.486542</v>
      </c>
      <c r="D92" s="4">
        <v>210421.96875</v>
      </c>
      <c r="E92" s="10">
        <f t="shared" si="6"/>
        <v>4500.0525087371261</v>
      </c>
      <c r="F92" s="10">
        <f t="shared" si="7"/>
        <v>12763.256767246885</v>
      </c>
      <c r="G92" s="12">
        <f t="shared" si="8"/>
        <v>8.4118443442985829</v>
      </c>
      <c r="H92" s="12">
        <f t="shared" si="9"/>
        <v>9.454325756875356</v>
      </c>
    </row>
    <row r="93" spans="1:8" x14ac:dyDescent="0.3">
      <c r="A93" t="s">
        <v>95</v>
      </c>
      <c r="B93" s="4">
        <v>1211.70361328125</v>
      </c>
      <c r="C93" s="3">
        <v>5.2822999999999995E-2</v>
      </c>
      <c r="D93" s="4">
        <v>11312.908203125</v>
      </c>
      <c r="E93" s="10">
        <f t="shared" si="6"/>
        <v>22938.939728551013</v>
      </c>
      <c r="F93" s="10">
        <f t="shared" si="7"/>
        <v>214166.33290659374</v>
      </c>
      <c r="G93" s="12">
        <f t="shared" si="8"/>
        <v>10.040591170284397</v>
      </c>
      <c r="H93" s="12">
        <f t="shared" si="9"/>
        <v>12.274508248669395</v>
      </c>
    </row>
    <row r="94" spans="1:8" x14ac:dyDescent="0.3">
      <c r="A94" t="s">
        <v>96</v>
      </c>
      <c r="B94" s="4">
        <v>2162705.25</v>
      </c>
      <c r="C94" s="3">
        <v>51.225307999999998</v>
      </c>
      <c r="D94" s="4">
        <v>11164506</v>
      </c>
      <c r="E94" s="10">
        <f t="shared" si="6"/>
        <v>42219.467962984236</v>
      </c>
      <c r="F94" s="10">
        <f t="shared" si="7"/>
        <v>217949.02628989561</v>
      </c>
      <c r="G94" s="12">
        <f t="shared" si="8"/>
        <v>10.650636719782984</v>
      </c>
      <c r="H94" s="12">
        <f t="shared" si="9"/>
        <v>12.292016490071772</v>
      </c>
    </row>
    <row r="95" spans="1:8" x14ac:dyDescent="0.3">
      <c r="A95" t="s">
        <v>97</v>
      </c>
      <c r="B95" s="4">
        <v>261068.53125</v>
      </c>
      <c r="C95" s="3">
        <v>4.2070829999999999</v>
      </c>
      <c r="D95" s="4">
        <v>967252.4375</v>
      </c>
      <c r="E95" s="10">
        <f t="shared" si="6"/>
        <v>62054.523585581745</v>
      </c>
      <c r="F95" s="10">
        <f t="shared" si="7"/>
        <v>229910.47181622041</v>
      </c>
      <c r="G95" s="12">
        <f t="shared" si="8"/>
        <v>11.035768690241133</v>
      </c>
      <c r="H95" s="12">
        <f t="shared" si="9"/>
        <v>12.345445259153774</v>
      </c>
    </row>
    <row r="96" spans="1:8" x14ac:dyDescent="0.3">
      <c r="A96" t="s">
        <v>98</v>
      </c>
      <c r="B96" s="4">
        <v>54384.28515625</v>
      </c>
      <c r="C96" s="3">
        <v>7.1694549999999992</v>
      </c>
      <c r="D96" s="4">
        <v>191343.484375</v>
      </c>
      <c r="E96" s="10">
        <f t="shared" si="6"/>
        <v>7585.5535959497629</v>
      </c>
      <c r="F96" s="10">
        <f t="shared" si="7"/>
        <v>26688.707073968664</v>
      </c>
      <c r="G96" s="12">
        <f t="shared" si="8"/>
        <v>8.934000874742221</v>
      </c>
      <c r="H96" s="12">
        <f t="shared" si="9"/>
        <v>10.191995798886074</v>
      </c>
    </row>
    <row r="97" spans="1:8" x14ac:dyDescent="0.3">
      <c r="A97" t="s">
        <v>99</v>
      </c>
      <c r="B97" s="4">
        <v>101120.8515625</v>
      </c>
      <c r="C97" s="3">
        <v>6.8557129999999997</v>
      </c>
      <c r="D97" s="4">
        <v>583424.375</v>
      </c>
      <c r="E97" s="10">
        <f t="shared" si="6"/>
        <v>14749.866507320246</v>
      </c>
      <c r="F97" s="10">
        <f t="shared" si="7"/>
        <v>85100.466574373815</v>
      </c>
      <c r="G97" s="12">
        <f t="shared" si="8"/>
        <v>9.598989311375842</v>
      </c>
      <c r="H97" s="12">
        <f t="shared" si="9"/>
        <v>11.351587797206527</v>
      </c>
    </row>
    <row r="98" spans="1:8" x14ac:dyDescent="0.3">
      <c r="A98" t="s">
        <v>100</v>
      </c>
      <c r="B98" s="4">
        <v>6212.169921875</v>
      </c>
      <c r="C98" s="3">
        <v>4.9373740000000002</v>
      </c>
      <c r="D98" s="4">
        <v>25000.244140625</v>
      </c>
      <c r="E98" s="10">
        <f t="shared" si="6"/>
        <v>1258.1931046493542</v>
      </c>
      <c r="F98" s="10">
        <f t="shared" si="7"/>
        <v>5063.4698000647713</v>
      </c>
      <c r="G98" s="12">
        <f t="shared" si="8"/>
        <v>7.1374319267913577</v>
      </c>
      <c r="H98" s="12">
        <f t="shared" si="9"/>
        <v>8.5298072585133706</v>
      </c>
    </row>
    <row r="99" spans="1:8" x14ac:dyDescent="0.3">
      <c r="A99" t="s">
        <v>101</v>
      </c>
      <c r="B99" s="4">
        <v>2602.488525390625</v>
      </c>
      <c r="C99" s="3">
        <v>0.18278999999999998</v>
      </c>
      <c r="D99" s="4">
        <v>11749.2333984375</v>
      </c>
      <c r="E99" s="10">
        <f t="shared" si="6"/>
        <v>14237.586987201845</v>
      </c>
      <c r="F99" s="10">
        <f t="shared" si="7"/>
        <v>64277.221940136231</v>
      </c>
      <c r="G99" s="12">
        <f t="shared" si="8"/>
        <v>9.5636407174612224</v>
      </c>
      <c r="H99" s="12">
        <f t="shared" si="9"/>
        <v>11.070960600811363</v>
      </c>
    </row>
    <row r="100" spans="1:8" x14ac:dyDescent="0.3">
      <c r="A100" t="s">
        <v>102</v>
      </c>
      <c r="B100" s="4">
        <v>283395</v>
      </c>
      <c r="C100" s="3">
        <v>21.323733000000001</v>
      </c>
      <c r="D100" s="4">
        <v>828180.3125</v>
      </c>
      <c r="E100" s="10">
        <f t="shared" si="6"/>
        <v>13290.121387282423</v>
      </c>
      <c r="F100" s="10">
        <f t="shared" si="7"/>
        <v>38838.430048809932</v>
      </c>
      <c r="G100" s="12">
        <f t="shared" si="8"/>
        <v>9.4947762853963855</v>
      </c>
      <c r="H100" s="12">
        <f t="shared" si="9"/>
        <v>10.567165500599895</v>
      </c>
    </row>
    <row r="101" spans="1:8" x14ac:dyDescent="0.3">
      <c r="A101" t="s">
        <v>103</v>
      </c>
      <c r="B101" s="4">
        <v>5727.3212890625</v>
      </c>
      <c r="C101" s="3">
        <v>2.1252679999999997</v>
      </c>
      <c r="D101" s="4">
        <v>27976.693359375</v>
      </c>
      <c r="E101" s="10">
        <f t="shared" si="6"/>
        <v>2694.8701477001964</v>
      </c>
      <c r="F101" s="10">
        <f t="shared" si="7"/>
        <v>13163.842564502454</v>
      </c>
      <c r="G101" s="12">
        <f t="shared" si="8"/>
        <v>7.899105299510734</v>
      </c>
      <c r="H101" s="12">
        <f t="shared" si="9"/>
        <v>9.4852291504431321</v>
      </c>
    </row>
    <row r="102" spans="1:8" x14ac:dyDescent="0.3">
      <c r="A102" t="s">
        <v>104</v>
      </c>
      <c r="B102" s="4">
        <v>89642.1796875</v>
      </c>
      <c r="C102" s="3">
        <v>2.7596270000000001</v>
      </c>
      <c r="D102" s="4">
        <v>379209.5625</v>
      </c>
      <c r="E102" s="10">
        <f t="shared" si="6"/>
        <v>32483.440583636846</v>
      </c>
      <c r="F102" s="10">
        <f t="shared" si="7"/>
        <v>137413.33973758048</v>
      </c>
      <c r="G102" s="12">
        <f t="shared" si="8"/>
        <v>10.388485717964667</v>
      </c>
      <c r="H102" s="12">
        <f t="shared" si="9"/>
        <v>11.830748740939713</v>
      </c>
    </row>
    <row r="103" spans="1:8" x14ac:dyDescent="0.3">
      <c r="A103" t="s">
        <v>105</v>
      </c>
      <c r="B103" s="4">
        <v>55710.79296875</v>
      </c>
      <c r="C103" s="3">
        <v>0.61572899999999997</v>
      </c>
      <c r="D103" s="4">
        <v>275867.21875</v>
      </c>
      <c r="E103" s="10">
        <f t="shared" si="6"/>
        <v>90479.404037734144</v>
      </c>
      <c r="F103" s="10">
        <f t="shared" si="7"/>
        <v>448033.49972146837</v>
      </c>
      <c r="G103" s="12">
        <f t="shared" si="8"/>
        <v>11.412877524094284</v>
      </c>
      <c r="H103" s="12">
        <f t="shared" si="9"/>
        <v>13.012623284765516</v>
      </c>
    </row>
    <row r="104" spans="1:8" x14ac:dyDescent="0.3">
      <c r="A104" t="s">
        <v>106</v>
      </c>
      <c r="B104" s="4">
        <v>56079.4453125</v>
      </c>
      <c r="C104" s="3">
        <v>1.9067429999999999</v>
      </c>
      <c r="D104" s="4">
        <v>460683.34375</v>
      </c>
      <c r="E104" s="10">
        <f t="shared" si="6"/>
        <v>29411.11901944835</v>
      </c>
      <c r="F104" s="10">
        <f t="shared" si="7"/>
        <v>241607.46558398276</v>
      </c>
      <c r="G104" s="12">
        <f t="shared" si="8"/>
        <v>10.289128079768378</v>
      </c>
      <c r="H104" s="12">
        <f t="shared" si="9"/>
        <v>12.395069645161339</v>
      </c>
    </row>
    <row r="105" spans="1:8" x14ac:dyDescent="0.3">
      <c r="A105" t="s">
        <v>107</v>
      </c>
      <c r="B105" s="4">
        <v>59874.1640625</v>
      </c>
      <c r="C105" s="3">
        <v>0.64044499999999993</v>
      </c>
      <c r="D105" s="4">
        <v>216005.09375</v>
      </c>
      <c r="E105" s="10">
        <f t="shared" si="6"/>
        <v>93488.377710029759</v>
      </c>
      <c r="F105" s="10">
        <f t="shared" si="7"/>
        <v>337273.44853968726</v>
      </c>
      <c r="G105" s="12">
        <f t="shared" si="8"/>
        <v>11.445592404984048</v>
      </c>
      <c r="H105" s="12">
        <f t="shared" si="9"/>
        <v>12.728649300310336</v>
      </c>
    </row>
    <row r="106" spans="1:8" x14ac:dyDescent="0.3">
      <c r="A106" t="s">
        <v>108</v>
      </c>
      <c r="B106" s="4">
        <v>288999.75</v>
      </c>
      <c r="C106" s="3">
        <v>36.471769000000002</v>
      </c>
      <c r="D106" s="4">
        <v>1531663</v>
      </c>
      <c r="E106" s="10">
        <f t="shared" si="6"/>
        <v>7923.9301499195171</v>
      </c>
      <c r="F106" s="10">
        <f t="shared" si="7"/>
        <v>41995.85164075809</v>
      </c>
      <c r="G106" s="12">
        <f t="shared" si="8"/>
        <v>8.9776425927770038</v>
      </c>
      <c r="H106" s="12">
        <f t="shared" si="9"/>
        <v>10.645326121929243</v>
      </c>
    </row>
    <row r="107" spans="1:8" x14ac:dyDescent="0.3">
      <c r="A107" t="s">
        <v>109</v>
      </c>
      <c r="B107" s="4">
        <v>38162.60546875</v>
      </c>
      <c r="C107" s="3">
        <v>4.0432629999999996</v>
      </c>
      <c r="D107" s="4">
        <v>116100.4921875</v>
      </c>
      <c r="E107" s="10">
        <f t="shared" si="6"/>
        <v>9438.5661948653851</v>
      </c>
      <c r="F107" s="10">
        <f t="shared" si="7"/>
        <v>28714.553613628403</v>
      </c>
      <c r="G107" s="12">
        <f t="shared" si="8"/>
        <v>9.1525593614665368</v>
      </c>
      <c r="H107" s="12">
        <f t="shared" si="9"/>
        <v>10.265159367770231</v>
      </c>
    </row>
    <row r="108" spans="1:8" x14ac:dyDescent="0.3">
      <c r="A108" t="s">
        <v>110</v>
      </c>
      <c r="B108" s="4">
        <v>41507.4609375</v>
      </c>
      <c r="C108" s="3">
        <v>26.969306999999997</v>
      </c>
      <c r="D108" s="4">
        <v>101824.8984375</v>
      </c>
      <c r="E108" s="10">
        <f t="shared" si="6"/>
        <v>1539.0629406050368</v>
      </c>
      <c r="F108" s="10">
        <f t="shared" si="7"/>
        <v>3775.5845353200962</v>
      </c>
      <c r="G108" s="12">
        <f t="shared" si="8"/>
        <v>7.3389290300819123</v>
      </c>
      <c r="H108" s="12">
        <f t="shared" si="9"/>
        <v>8.2363104934894658</v>
      </c>
    </row>
    <row r="109" spans="1:8" x14ac:dyDescent="0.3">
      <c r="A109" t="s">
        <v>111</v>
      </c>
      <c r="B109" s="4">
        <v>10306.474609375</v>
      </c>
      <c r="C109" s="3">
        <v>0.53095300000000001</v>
      </c>
      <c r="D109" s="4">
        <v>59680.171875</v>
      </c>
      <c r="E109" s="10">
        <f t="shared" si="6"/>
        <v>19411.274838592115</v>
      </c>
      <c r="F109" s="10">
        <f t="shared" si="7"/>
        <v>112401.98638109211</v>
      </c>
      <c r="G109" s="12">
        <f t="shared" si="8"/>
        <v>9.8736093534803455</v>
      </c>
      <c r="H109" s="12">
        <f t="shared" si="9"/>
        <v>11.629836888715218</v>
      </c>
    </row>
    <row r="110" spans="1:8" x14ac:dyDescent="0.3">
      <c r="A110" t="s">
        <v>112</v>
      </c>
      <c r="B110" s="4">
        <v>2390322.5</v>
      </c>
      <c r="C110" s="3">
        <v>127.57552899999999</v>
      </c>
      <c r="D110" s="4">
        <v>10933570</v>
      </c>
      <c r="E110" s="10">
        <f t="shared" si="6"/>
        <v>18736.528225565893</v>
      </c>
      <c r="F110" s="10">
        <f t="shared" si="7"/>
        <v>85702.721248367321</v>
      </c>
      <c r="G110" s="12">
        <f t="shared" si="8"/>
        <v>9.8382302785210953</v>
      </c>
      <c r="H110" s="12">
        <f t="shared" si="9"/>
        <v>11.358639857271566</v>
      </c>
    </row>
    <row r="111" spans="1:8" x14ac:dyDescent="0.3">
      <c r="A111" t="s">
        <v>113</v>
      </c>
      <c r="B111" s="4">
        <v>32876.15625</v>
      </c>
      <c r="C111" s="3">
        <v>2.0834589999999999</v>
      </c>
      <c r="D111" s="4">
        <v>138411.71875</v>
      </c>
      <c r="E111" s="10">
        <f t="shared" si="6"/>
        <v>15779.603174336524</v>
      </c>
      <c r="F111" s="10">
        <f t="shared" si="7"/>
        <v>66433.617724178883</v>
      </c>
      <c r="G111" s="12">
        <f t="shared" si="8"/>
        <v>9.6664734467032165</v>
      </c>
      <c r="H111" s="12">
        <f t="shared" si="9"/>
        <v>11.103958498369257</v>
      </c>
    </row>
    <row r="112" spans="1:8" x14ac:dyDescent="0.3">
      <c r="A112" t="s">
        <v>114</v>
      </c>
      <c r="B112" s="4">
        <v>48087.625</v>
      </c>
      <c r="C112" s="3">
        <v>19.658030999999998</v>
      </c>
      <c r="D112" s="4">
        <v>72468.1875</v>
      </c>
      <c r="E112" s="10">
        <f t="shared" si="6"/>
        <v>2446.2076084832711</v>
      </c>
      <c r="F112" s="10">
        <f t="shared" si="7"/>
        <v>3686.4418160699825</v>
      </c>
      <c r="G112" s="12">
        <f t="shared" si="8"/>
        <v>7.8022941893759832</v>
      </c>
      <c r="H112" s="12">
        <f t="shared" si="9"/>
        <v>8.2124169943321377</v>
      </c>
    </row>
    <row r="113" spans="1:8" x14ac:dyDescent="0.3">
      <c r="A113" t="s">
        <v>115</v>
      </c>
      <c r="B113" s="4">
        <v>17134.908203125</v>
      </c>
      <c r="C113" s="3">
        <v>0.44037199999999999</v>
      </c>
      <c r="D113" s="4">
        <v>62440.5546875</v>
      </c>
      <c r="E113" s="10">
        <f t="shared" si="6"/>
        <v>38910.076487889783</v>
      </c>
      <c r="F113" s="10">
        <f t="shared" si="7"/>
        <v>141790.47416161792</v>
      </c>
      <c r="G113" s="12">
        <f t="shared" si="8"/>
        <v>10.569008531740989</v>
      </c>
      <c r="H113" s="12">
        <f t="shared" si="9"/>
        <v>11.862105712837852</v>
      </c>
    </row>
    <row r="114" spans="1:8" x14ac:dyDescent="0.3">
      <c r="A114" t="s">
        <v>116</v>
      </c>
      <c r="B114" s="4">
        <v>278516.3125</v>
      </c>
      <c r="C114" s="3">
        <v>54.04542</v>
      </c>
      <c r="D114" s="4">
        <v>823445.6875</v>
      </c>
      <c r="E114" s="10">
        <f t="shared" si="6"/>
        <v>5153.3749298275416</v>
      </c>
      <c r="F114" s="10">
        <f t="shared" si="7"/>
        <v>15236.178893604676</v>
      </c>
      <c r="G114" s="12">
        <f t="shared" si="8"/>
        <v>8.5474071052054494</v>
      </c>
      <c r="H114" s="12">
        <f t="shared" si="9"/>
        <v>9.6314280690368275</v>
      </c>
    </row>
    <row r="115" spans="1:8" x14ac:dyDescent="0.3">
      <c r="A115" t="s">
        <v>117</v>
      </c>
      <c r="B115" s="4">
        <v>13721.466796875</v>
      </c>
      <c r="C115" s="3">
        <v>0.62798699999999996</v>
      </c>
      <c r="D115" s="4">
        <v>47241.96484375</v>
      </c>
      <c r="E115" s="10">
        <f t="shared" si="6"/>
        <v>21849.921729072419</v>
      </c>
      <c r="F115" s="10">
        <f t="shared" si="7"/>
        <v>75227.615927957115</v>
      </c>
      <c r="G115" s="12">
        <f t="shared" si="8"/>
        <v>9.9919526183238379</v>
      </c>
      <c r="H115" s="12">
        <f t="shared" si="9"/>
        <v>11.228273675608902</v>
      </c>
    </row>
    <row r="116" spans="1:8" x14ac:dyDescent="0.3">
      <c r="A116" t="s">
        <v>118</v>
      </c>
      <c r="B116" s="4">
        <v>38380.40234375</v>
      </c>
      <c r="C116" s="3">
        <v>3.2251669999999999</v>
      </c>
      <c r="D116" s="4">
        <v>174303.78125</v>
      </c>
      <c r="E116" s="10">
        <f t="shared" si="6"/>
        <v>11900.283719804278</v>
      </c>
      <c r="F116" s="10">
        <f t="shared" si="7"/>
        <v>54044.885505153688</v>
      </c>
      <c r="G116" s="12">
        <f t="shared" si="8"/>
        <v>9.384317520815765</v>
      </c>
      <c r="H116" s="12">
        <f t="shared" si="9"/>
        <v>10.897570193338552</v>
      </c>
    </row>
    <row r="117" spans="1:8" x14ac:dyDescent="0.3">
      <c r="A117" t="s">
        <v>119</v>
      </c>
      <c r="B117" s="4">
        <v>37315.92578125</v>
      </c>
      <c r="C117" s="3">
        <v>30.366035999999998</v>
      </c>
      <c r="D117" s="4">
        <v>116302.3359375</v>
      </c>
      <c r="E117" s="10">
        <f t="shared" si="6"/>
        <v>1228.8704979882789</v>
      </c>
      <c r="F117" s="10">
        <f t="shared" si="7"/>
        <v>3830.0137672727519</v>
      </c>
      <c r="G117" s="12">
        <f t="shared" si="8"/>
        <v>7.1138507321574638</v>
      </c>
      <c r="H117" s="12">
        <f t="shared" si="9"/>
        <v>8.2506236767564172</v>
      </c>
    </row>
    <row r="118" spans="1:8" x14ac:dyDescent="0.3">
      <c r="A118" t="s">
        <v>120</v>
      </c>
      <c r="B118" s="4">
        <v>21162.974609375</v>
      </c>
      <c r="C118" s="3">
        <v>4.5256959999999999</v>
      </c>
      <c r="D118" s="4">
        <v>97626.734375</v>
      </c>
      <c r="E118" s="10">
        <f t="shared" si="6"/>
        <v>4676.1812126521536</v>
      </c>
      <c r="F118" s="10">
        <f t="shared" si="7"/>
        <v>21571.650940540418</v>
      </c>
      <c r="G118" s="12">
        <f t="shared" si="8"/>
        <v>8.4502370756161049</v>
      </c>
      <c r="H118" s="12">
        <f t="shared" si="9"/>
        <v>9.9791352751904903</v>
      </c>
    </row>
    <row r="119" spans="1:8" x14ac:dyDescent="0.3">
      <c r="A119" t="s">
        <v>121</v>
      </c>
      <c r="B119" s="4">
        <v>77.694183349609375</v>
      </c>
      <c r="C119" s="3">
        <v>4.9889999999999995E-3</v>
      </c>
      <c r="D119" s="4">
        <v>1198.7020263671875</v>
      </c>
      <c r="E119" s="10">
        <f t="shared" si="6"/>
        <v>15573.097484387528</v>
      </c>
      <c r="F119" s="10">
        <f t="shared" si="7"/>
        <v>240268.99706698488</v>
      </c>
      <c r="G119" s="12">
        <f t="shared" si="8"/>
        <v>9.6533001843092734</v>
      </c>
      <c r="H119" s="12">
        <f t="shared" si="9"/>
        <v>12.389514395785529</v>
      </c>
    </row>
    <row r="120" spans="1:8" x14ac:dyDescent="0.3">
      <c r="A120" t="s">
        <v>122</v>
      </c>
      <c r="B120" s="4">
        <v>29758.16015625</v>
      </c>
      <c r="C120" s="3">
        <v>1.269668</v>
      </c>
      <c r="D120" s="4">
        <v>97370.3125</v>
      </c>
      <c r="E120" s="10">
        <f t="shared" si="6"/>
        <v>23437.749203925749</v>
      </c>
      <c r="F120" s="10">
        <f t="shared" si="7"/>
        <v>76689.585387676154</v>
      </c>
      <c r="G120" s="12">
        <f t="shared" si="8"/>
        <v>10.062103215357071</v>
      </c>
      <c r="H120" s="12">
        <f t="shared" si="9"/>
        <v>11.247521194402866</v>
      </c>
    </row>
    <row r="121" spans="1:8" x14ac:dyDescent="0.3">
      <c r="A121" t="s">
        <v>123</v>
      </c>
      <c r="B121" s="4">
        <v>21635.06640625</v>
      </c>
      <c r="C121" s="3">
        <v>18.628747000000001</v>
      </c>
      <c r="D121" s="4">
        <v>24313.984375</v>
      </c>
      <c r="E121" s="10">
        <f t="shared" si="6"/>
        <v>1161.3806557279456</v>
      </c>
      <c r="F121" s="10">
        <f t="shared" si="7"/>
        <v>1305.1862465575382</v>
      </c>
      <c r="G121" s="12">
        <f t="shared" si="8"/>
        <v>7.0573647968047011</v>
      </c>
      <c r="H121" s="12">
        <f t="shared" si="9"/>
        <v>7.1741010272422079</v>
      </c>
    </row>
    <row r="122" spans="1:8" x14ac:dyDescent="0.3">
      <c r="A122" t="s">
        <v>124</v>
      </c>
      <c r="B122" s="4">
        <v>822237.375</v>
      </c>
      <c r="C122" s="3">
        <v>31.949776999999997</v>
      </c>
      <c r="D122" s="4">
        <v>3598296.5</v>
      </c>
      <c r="E122" s="10">
        <f t="shared" si="6"/>
        <v>25735.308731575813</v>
      </c>
      <c r="F122" s="10">
        <f t="shared" si="7"/>
        <v>112623.5247275748</v>
      </c>
      <c r="G122" s="12">
        <f t="shared" si="8"/>
        <v>10.155619208578946</v>
      </c>
      <c r="H122" s="12">
        <f t="shared" si="9"/>
        <v>11.631805895846599</v>
      </c>
    </row>
    <row r="123" spans="1:8" x14ac:dyDescent="0.3">
      <c r="A123" t="s">
        <v>125</v>
      </c>
      <c r="B123" s="4">
        <v>23331.65625</v>
      </c>
      <c r="C123" s="3">
        <v>2.4945299999999997</v>
      </c>
      <c r="D123" s="4">
        <v>79837.9453125</v>
      </c>
      <c r="E123" s="10">
        <f t="shared" si="6"/>
        <v>9353.1271421871061</v>
      </c>
      <c r="F123" s="10">
        <f t="shared" si="7"/>
        <v>32005.205514666093</v>
      </c>
      <c r="G123" s="12">
        <f t="shared" si="8"/>
        <v>9.1434660200754099</v>
      </c>
      <c r="H123" s="12">
        <f t="shared" si="9"/>
        <v>10.373653840885471</v>
      </c>
    </row>
    <row r="124" spans="1:8" x14ac:dyDescent="0.3">
      <c r="A124" t="s">
        <v>126</v>
      </c>
      <c r="B124" s="4">
        <v>28226.435546875</v>
      </c>
      <c r="C124" s="3">
        <v>23.310714999999998</v>
      </c>
      <c r="D124" s="4">
        <v>130140.125</v>
      </c>
      <c r="E124" s="10">
        <f t="shared" si="6"/>
        <v>1210.8781539680358</v>
      </c>
      <c r="F124" s="10">
        <f t="shared" si="7"/>
        <v>5582.8456999281234</v>
      </c>
      <c r="G124" s="12">
        <f t="shared" si="8"/>
        <v>7.0991011224447451</v>
      </c>
      <c r="H124" s="12">
        <f t="shared" si="9"/>
        <v>8.6274539074446697</v>
      </c>
    </row>
    <row r="125" spans="1:8" x14ac:dyDescent="0.3">
      <c r="A125" t="s">
        <v>127</v>
      </c>
      <c r="B125" s="4">
        <v>1001537.3125</v>
      </c>
      <c r="C125" s="3">
        <v>200.96359899999999</v>
      </c>
      <c r="D125" s="4">
        <v>3203823.75</v>
      </c>
      <c r="E125" s="10">
        <f t="shared" si="6"/>
        <v>4983.6752401115191</v>
      </c>
      <c r="F125" s="10">
        <f t="shared" si="7"/>
        <v>15942.308785980689</v>
      </c>
      <c r="G125" s="12">
        <f t="shared" si="8"/>
        <v>8.513922897852984</v>
      </c>
      <c r="H125" s="12">
        <f t="shared" si="9"/>
        <v>9.6767317841379281</v>
      </c>
    </row>
    <row r="126" spans="1:8" x14ac:dyDescent="0.3">
      <c r="A126" t="s">
        <v>128</v>
      </c>
      <c r="B126" s="4">
        <v>32886.40625</v>
      </c>
      <c r="C126" s="3">
        <v>6.5455019999999999</v>
      </c>
      <c r="D126" s="4">
        <v>134578.375</v>
      </c>
      <c r="E126" s="10">
        <f t="shared" si="6"/>
        <v>5024.2756399738328</v>
      </c>
      <c r="F126" s="10">
        <f t="shared" si="7"/>
        <v>20560.436006283398</v>
      </c>
      <c r="G126" s="12">
        <f t="shared" si="8"/>
        <v>8.5220365712874973</v>
      </c>
      <c r="H126" s="12">
        <f t="shared" si="9"/>
        <v>9.9311239258755393</v>
      </c>
    </row>
    <row r="127" spans="1:8" x14ac:dyDescent="0.3">
      <c r="A127" t="s">
        <v>129</v>
      </c>
      <c r="B127" s="4">
        <v>950077.9375</v>
      </c>
      <c r="C127" s="3">
        <v>17.09713</v>
      </c>
      <c r="D127" s="4">
        <v>4745303</v>
      </c>
      <c r="E127" s="10">
        <f t="shared" si="6"/>
        <v>55569.439870902308</v>
      </c>
      <c r="F127" s="10">
        <f t="shared" si="7"/>
        <v>277549.68231510202</v>
      </c>
      <c r="G127" s="12">
        <f t="shared" si="8"/>
        <v>10.925388686520131</v>
      </c>
      <c r="H127" s="12">
        <f t="shared" si="9"/>
        <v>12.533755231513444</v>
      </c>
    </row>
    <row r="128" spans="1:8" x14ac:dyDescent="0.3">
      <c r="A128" t="s">
        <v>130</v>
      </c>
      <c r="B128" s="4">
        <v>396253.875</v>
      </c>
      <c r="C128" s="3">
        <v>5.378857</v>
      </c>
      <c r="D128" s="4">
        <v>1723067.375</v>
      </c>
      <c r="E128" s="10">
        <f t="shared" si="6"/>
        <v>73668.787811239454</v>
      </c>
      <c r="F128" s="10">
        <f t="shared" si="7"/>
        <v>320340.80381761404</v>
      </c>
      <c r="G128" s="12">
        <f t="shared" si="8"/>
        <v>11.207334485234977</v>
      </c>
      <c r="H128" s="12">
        <f t="shared" si="9"/>
        <v>12.67714071998309</v>
      </c>
    </row>
    <row r="129" spans="1:8" x14ac:dyDescent="0.3">
      <c r="A129" t="s">
        <v>131</v>
      </c>
      <c r="B129" s="4">
        <v>103878.734375</v>
      </c>
      <c r="C129" s="3">
        <v>28.608709999999999</v>
      </c>
      <c r="D129" s="4">
        <v>345289.0625</v>
      </c>
      <c r="E129" s="10">
        <f t="shared" si="6"/>
        <v>3631.0177695883526</v>
      </c>
      <c r="F129" s="10">
        <f t="shared" si="7"/>
        <v>12069.368472049247</v>
      </c>
      <c r="G129" s="12">
        <f t="shared" si="8"/>
        <v>8.1972682652575948</v>
      </c>
      <c r="H129" s="12">
        <f t="shared" si="9"/>
        <v>9.3984259906058458</v>
      </c>
    </row>
    <row r="130" spans="1:8" x14ac:dyDescent="0.3">
      <c r="A130" t="s">
        <v>132</v>
      </c>
      <c r="B130" s="4">
        <v>198604.609375</v>
      </c>
      <c r="C130" s="3">
        <v>4.7830629999999994</v>
      </c>
      <c r="D130" s="4">
        <v>656662.875</v>
      </c>
      <c r="E130" s="10">
        <f t="shared" si="6"/>
        <v>41522.474066304378</v>
      </c>
      <c r="F130" s="10">
        <f t="shared" si="7"/>
        <v>137289.19627443753</v>
      </c>
      <c r="G130" s="12">
        <f t="shared" si="8"/>
        <v>10.633990103403253</v>
      </c>
      <c r="H130" s="12">
        <f t="shared" si="9"/>
        <v>11.82984490165671</v>
      </c>
    </row>
    <row r="131" spans="1:8" x14ac:dyDescent="0.3">
      <c r="A131" t="s">
        <v>133</v>
      </c>
      <c r="B131" s="4">
        <v>152847.921875</v>
      </c>
      <c r="C131" s="3">
        <v>4.9749859999999995</v>
      </c>
      <c r="D131" s="4">
        <v>785886.75</v>
      </c>
      <c r="E131" s="10">
        <f t="shared" si="6"/>
        <v>30723.286834375016</v>
      </c>
      <c r="F131" s="10">
        <f t="shared" si="7"/>
        <v>157967.63046167369</v>
      </c>
      <c r="G131" s="12">
        <f t="shared" si="8"/>
        <v>10.332776174844712</v>
      </c>
      <c r="H131" s="12">
        <f t="shared" si="9"/>
        <v>11.97014542052454</v>
      </c>
    </row>
    <row r="132" spans="1:8" x14ac:dyDescent="0.3">
      <c r="A132" t="s">
        <v>134</v>
      </c>
      <c r="B132" s="4">
        <v>1088502.5</v>
      </c>
      <c r="C132" s="3">
        <v>216.56531799999999</v>
      </c>
      <c r="D132" s="4">
        <v>1718255.125</v>
      </c>
      <c r="E132" s="10">
        <f t="shared" ref="E132:E182" si="10">B132/C132</f>
        <v>5026.208767185889</v>
      </c>
      <c r="F132" s="10">
        <f t="shared" ref="F132:F182" si="11">D132/C132</f>
        <v>7934.1195574076182</v>
      </c>
      <c r="G132" s="12">
        <f t="shared" ref="G132:G182" si="12">LN(E132)</f>
        <v>8.5224212546833584</v>
      </c>
      <c r="H132" s="12">
        <f t="shared" ref="H132:H182" si="13">LN(F132)</f>
        <v>8.9789276699559011</v>
      </c>
    </row>
    <row r="133" spans="1:8" x14ac:dyDescent="0.3">
      <c r="A133" t="s">
        <v>135</v>
      </c>
      <c r="B133" s="4">
        <v>126883.1875</v>
      </c>
      <c r="C133" s="3">
        <v>4.2464389999999996</v>
      </c>
      <c r="D133" s="4">
        <v>524603.125</v>
      </c>
      <c r="E133" s="10">
        <f t="shared" si="10"/>
        <v>29879.903490901437</v>
      </c>
      <c r="F133" s="10">
        <f t="shared" si="11"/>
        <v>123539.54101307002</v>
      </c>
      <c r="G133" s="12">
        <f t="shared" si="12"/>
        <v>10.304941409352027</v>
      </c>
      <c r="H133" s="12">
        <f t="shared" si="13"/>
        <v>11.724316553952962</v>
      </c>
    </row>
    <row r="134" spans="1:8" x14ac:dyDescent="0.3">
      <c r="A134" t="s">
        <v>136</v>
      </c>
      <c r="B134" s="4">
        <v>397821.03125</v>
      </c>
      <c r="C134" s="3">
        <v>32.510452999999998</v>
      </c>
      <c r="D134" s="4">
        <v>1466835</v>
      </c>
      <c r="E134" s="10">
        <f t="shared" si="10"/>
        <v>12236.711412480165</v>
      </c>
      <c r="F134" s="10">
        <f t="shared" si="11"/>
        <v>45118.872997555591</v>
      </c>
      <c r="G134" s="12">
        <f t="shared" si="12"/>
        <v>9.4121958445156348</v>
      </c>
      <c r="H134" s="12">
        <f t="shared" si="13"/>
        <v>10.717055907968932</v>
      </c>
    </row>
    <row r="135" spans="1:8" x14ac:dyDescent="0.3">
      <c r="A135" t="s">
        <v>137</v>
      </c>
      <c r="B135" s="4">
        <v>913426.8125</v>
      </c>
      <c r="C135" s="3">
        <v>108.116615</v>
      </c>
      <c r="D135" s="4">
        <v>2753356.25</v>
      </c>
      <c r="E135" s="10">
        <f t="shared" si="10"/>
        <v>8448.5332111072839</v>
      </c>
      <c r="F135" s="10">
        <f t="shared" si="11"/>
        <v>25466.541382191812</v>
      </c>
      <c r="G135" s="12">
        <f t="shared" si="12"/>
        <v>9.041748120799344</v>
      </c>
      <c r="H135" s="12">
        <f t="shared" si="13"/>
        <v>10.14512076692696</v>
      </c>
    </row>
    <row r="136" spans="1:8" x14ac:dyDescent="0.3">
      <c r="A136" t="s">
        <v>138</v>
      </c>
      <c r="B136" s="4">
        <v>1211846.25</v>
      </c>
      <c r="C136" s="3">
        <v>37.887768000000001</v>
      </c>
      <c r="D136" s="4">
        <v>3148161.25</v>
      </c>
      <c r="E136" s="10">
        <f t="shared" si="10"/>
        <v>31985.158112243505</v>
      </c>
      <c r="F136" s="10">
        <f t="shared" si="11"/>
        <v>83091.758004852643</v>
      </c>
      <c r="G136" s="12">
        <f t="shared" si="12"/>
        <v>10.373027265196813</v>
      </c>
      <c r="H136" s="12">
        <f t="shared" si="13"/>
        <v>11.327700794274325</v>
      </c>
    </row>
    <row r="137" spans="1:8" x14ac:dyDescent="0.3">
      <c r="A137" t="s">
        <v>139</v>
      </c>
      <c r="B137" s="4">
        <v>325160.03125</v>
      </c>
      <c r="C137" s="3">
        <v>10.226186999999999</v>
      </c>
      <c r="D137" s="4">
        <v>2913985.5</v>
      </c>
      <c r="E137" s="10">
        <f t="shared" si="10"/>
        <v>31796.800826153485</v>
      </c>
      <c r="F137" s="10">
        <f t="shared" si="11"/>
        <v>284953.27730658557</v>
      </c>
      <c r="G137" s="12">
        <f t="shared" si="12"/>
        <v>10.367120960756303</v>
      </c>
      <c r="H137" s="12">
        <f t="shared" si="13"/>
        <v>12.560080506536137</v>
      </c>
    </row>
    <row r="138" spans="1:8" x14ac:dyDescent="0.3">
      <c r="A138" t="s">
        <v>140</v>
      </c>
      <c r="B138" s="4">
        <v>86788.5546875</v>
      </c>
      <c r="C138" s="3">
        <v>7.0446359999999997</v>
      </c>
      <c r="D138" s="4">
        <v>288482.9375</v>
      </c>
      <c r="E138" s="10">
        <f t="shared" si="10"/>
        <v>12319.806827137698</v>
      </c>
      <c r="F138" s="10">
        <f t="shared" si="11"/>
        <v>40950.723003999075</v>
      </c>
      <c r="G138" s="12">
        <f t="shared" si="12"/>
        <v>9.4189635573491373</v>
      </c>
      <c r="H138" s="12">
        <f t="shared" si="13"/>
        <v>10.620124744900668</v>
      </c>
    </row>
    <row r="139" spans="1:8" x14ac:dyDescent="0.3">
      <c r="A139" t="s">
        <v>141</v>
      </c>
      <c r="B139" s="4">
        <v>36793.78125</v>
      </c>
      <c r="C139" s="3">
        <v>4.98142</v>
      </c>
      <c r="D139" s="4">
        <v>133039.734375</v>
      </c>
      <c r="E139" s="10">
        <f t="shared" si="10"/>
        <v>7386.2033817666452</v>
      </c>
      <c r="F139" s="10">
        <f t="shared" si="11"/>
        <v>26707.190795997929</v>
      </c>
      <c r="G139" s="12">
        <f t="shared" si="12"/>
        <v>8.9073691311512739</v>
      </c>
      <c r="H139" s="12">
        <f t="shared" si="13"/>
        <v>10.192688126330873</v>
      </c>
    </row>
    <row r="140" spans="1:8" x14ac:dyDescent="0.3">
      <c r="A140" t="s">
        <v>142</v>
      </c>
      <c r="B140" s="4">
        <v>323141.15625</v>
      </c>
      <c r="C140" s="3">
        <v>2.8320669999999999</v>
      </c>
      <c r="D140" s="4">
        <v>1627417.25</v>
      </c>
      <c r="E140" s="10">
        <f t="shared" si="10"/>
        <v>114100.81620597253</v>
      </c>
      <c r="F140" s="10">
        <f t="shared" si="11"/>
        <v>574639.38882801856</v>
      </c>
      <c r="G140" s="12">
        <f t="shared" si="12"/>
        <v>11.64483768925116</v>
      </c>
      <c r="H140" s="12">
        <f t="shared" si="13"/>
        <v>13.261497973174434</v>
      </c>
    </row>
    <row r="141" spans="1:8" x14ac:dyDescent="0.3">
      <c r="A141" t="s">
        <v>143</v>
      </c>
      <c r="B141" s="4">
        <v>540045.75</v>
      </c>
      <c r="C141" s="3">
        <v>19.364556999999998</v>
      </c>
      <c r="D141" s="4">
        <v>1805810.25</v>
      </c>
      <c r="E141" s="10">
        <f t="shared" si="10"/>
        <v>27888.360678739002</v>
      </c>
      <c r="F141" s="10">
        <f t="shared" si="11"/>
        <v>93253.372643639625</v>
      </c>
      <c r="G141" s="12">
        <f t="shared" si="12"/>
        <v>10.23596470079217</v>
      </c>
      <c r="H141" s="12">
        <f t="shared" si="13"/>
        <v>11.443075504612235</v>
      </c>
    </row>
    <row r="142" spans="1:8" x14ac:dyDescent="0.3">
      <c r="A142" t="s">
        <v>144</v>
      </c>
      <c r="B142" s="4">
        <v>4161194.5</v>
      </c>
      <c r="C142" s="3">
        <v>145.87225599999999</v>
      </c>
      <c r="D142" s="4">
        <v>19423886</v>
      </c>
      <c r="E142" s="10">
        <f t="shared" si="10"/>
        <v>28526.291524551456</v>
      </c>
      <c r="F142" s="10">
        <f t="shared" si="11"/>
        <v>133156.82181538348</v>
      </c>
      <c r="G142" s="12">
        <f t="shared" si="12"/>
        <v>10.258581450639626</v>
      </c>
      <c r="H142" s="12">
        <f t="shared" si="13"/>
        <v>11.79928282399187</v>
      </c>
    </row>
    <row r="143" spans="1:8" x14ac:dyDescent="0.3">
      <c r="A143" t="s">
        <v>145</v>
      </c>
      <c r="B143" s="4">
        <v>28783.21875</v>
      </c>
      <c r="C143" s="3">
        <v>12.626949999999999</v>
      </c>
      <c r="D143" s="4">
        <v>50998.0703125</v>
      </c>
      <c r="E143" s="10">
        <f t="shared" si="10"/>
        <v>2279.5068286482488</v>
      </c>
      <c r="F143" s="10">
        <f t="shared" si="11"/>
        <v>4038.8272949920611</v>
      </c>
      <c r="G143" s="12">
        <f t="shared" si="12"/>
        <v>7.7317143953271179</v>
      </c>
      <c r="H143" s="12">
        <f t="shared" si="13"/>
        <v>8.3037096553008674</v>
      </c>
    </row>
    <row r="144" spans="1:8" x14ac:dyDescent="0.3">
      <c r="A144" t="s">
        <v>146</v>
      </c>
      <c r="B144" s="4">
        <v>1775962.375</v>
      </c>
      <c r="C144" s="3">
        <v>34.268527999999996</v>
      </c>
      <c r="D144" s="4">
        <v>7093385</v>
      </c>
      <c r="E144" s="10">
        <f t="shared" si="10"/>
        <v>51824.880689360223</v>
      </c>
      <c r="F144" s="10">
        <f t="shared" si="11"/>
        <v>206994.15510348155</v>
      </c>
      <c r="G144" s="12">
        <f t="shared" si="12"/>
        <v>10.855625635118219</v>
      </c>
      <c r="H144" s="12">
        <f t="shared" si="13"/>
        <v>12.240445835633791</v>
      </c>
    </row>
    <row r="145" spans="1:8" x14ac:dyDescent="0.3">
      <c r="A145" t="s">
        <v>147</v>
      </c>
      <c r="B145" s="4">
        <v>181135.734375</v>
      </c>
      <c r="C145" s="3">
        <v>42.813237999999998</v>
      </c>
      <c r="D145" s="4">
        <v>956525.1875</v>
      </c>
      <c r="E145" s="10">
        <f t="shared" si="10"/>
        <v>4230.8347332897365</v>
      </c>
      <c r="F145" s="10">
        <f t="shared" si="11"/>
        <v>22341.809033458296</v>
      </c>
      <c r="G145" s="12">
        <f t="shared" si="12"/>
        <v>8.3501545890471576</v>
      </c>
      <c r="H145" s="12">
        <f t="shared" si="13"/>
        <v>10.014215046670502</v>
      </c>
    </row>
    <row r="146" spans="1:8" x14ac:dyDescent="0.3">
      <c r="A146" t="s">
        <v>148</v>
      </c>
      <c r="B146" s="4">
        <v>52927.8671875</v>
      </c>
      <c r="C146" s="3">
        <v>16.296364000000001</v>
      </c>
      <c r="D146" s="4">
        <v>161783.9375</v>
      </c>
      <c r="E146" s="10">
        <f t="shared" si="10"/>
        <v>3247.8329023271694</v>
      </c>
      <c r="F146" s="10">
        <f t="shared" si="11"/>
        <v>9927.6094655224933</v>
      </c>
      <c r="G146" s="12">
        <f t="shared" si="12"/>
        <v>8.0857432536303193</v>
      </c>
      <c r="H146" s="12">
        <f t="shared" si="13"/>
        <v>9.2030749894389476</v>
      </c>
    </row>
    <row r="147" spans="1:8" x14ac:dyDescent="0.3">
      <c r="A147" t="s">
        <v>149</v>
      </c>
      <c r="B147" s="4">
        <v>477907.875</v>
      </c>
      <c r="C147" s="3">
        <v>5.8043369999999994</v>
      </c>
      <c r="D147" s="4">
        <v>2148978.25</v>
      </c>
      <c r="E147" s="10">
        <f t="shared" si="10"/>
        <v>82336.341773401524</v>
      </c>
      <c r="F147" s="10">
        <f t="shared" si="11"/>
        <v>370236.64373726066</v>
      </c>
      <c r="G147" s="12">
        <f t="shared" si="12"/>
        <v>11.318567866032357</v>
      </c>
      <c r="H147" s="12">
        <f t="shared" si="13"/>
        <v>12.82189765784605</v>
      </c>
    </row>
    <row r="148" spans="1:8" x14ac:dyDescent="0.3">
      <c r="A148" t="s">
        <v>150</v>
      </c>
      <c r="B148" s="4">
        <v>14651.259765625</v>
      </c>
      <c r="C148" s="3">
        <v>7.8132149999999996</v>
      </c>
      <c r="D148" s="4">
        <v>16960.166015625</v>
      </c>
      <c r="E148" s="10">
        <f t="shared" si="10"/>
        <v>1875.1896326448204</v>
      </c>
      <c r="F148" s="10">
        <f t="shared" si="11"/>
        <v>2170.7025872992103</v>
      </c>
      <c r="G148" s="12">
        <f t="shared" si="12"/>
        <v>7.5364650707010394</v>
      </c>
      <c r="H148" s="12">
        <f t="shared" si="13"/>
        <v>7.6828061670803001</v>
      </c>
    </row>
    <row r="149" spans="1:8" x14ac:dyDescent="0.3">
      <c r="A149" t="s">
        <v>151</v>
      </c>
      <c r="B149" s="4">
        <v>52378.7734375</v>
      </c>
      <c r="C149" s="3">
        <v>6.4535529999999994</v>
      </c>
      <c r="D149" s="4">
        <v>195583.46875</v>
      </c>
      <c r="E149" s="10">
        <f t="shared" si="10"/>
        <v>8116.2691989203477</v>
      </c>
      <c r="F149" s="10">
        <f t="shared" si="11"/>
        <v>30306.324090001279</v>
      </c>
      <c r="G149" s="12">
        <f t="shared" si="12"/>
        <v>9.0016258693113933</v>
      </c>
      <c r="H149" s="12">
        <f t="shared" si="13"/>
        <v>10.319111685560966</v>
      </c>
    </row>
    <row r="150" spans="1:8" x14ac:dyDescent="0.3">
      <c r="A150" t="s">
        <v>152</v>
      </c>
      <c r="B150" s="4">
        <v>120447.671875</v>
      </c>
      <c r="C150" s="3">
        <v>6.99451</v>
      </c>
      <c r="D150" s="4">
        <v>621227.6875</v>
      </c>
      <c r="E150" s="10">
        <f t="shared" si="10"/>
        <v>17220.315915625255</v>
      </c>
      <c r="F150" s="10">
        <f t="shared" si="11"/>
        <v>88816.469988605342</v>
      </c>
      <c r="G150" s="12">
        <f t="shared" si="12"/>
        <v>9.7538451236685635</v>
      </c>
      <c r="H150" s="12">
        <f t="shared" si="13"/>
        <v>11.394327384626955</v>
      </c>
    </row>
    <row r="151" spans="1:8" x14ac:dyDescent="0.3">
      <c r="A151" t="s">
        <v>153</v>
      </c>
      <c r="B151" s="4">
        <v>813.9346923828125</v>
      </c>
      <c r="C151" s="3">
        <v>0.215056</v>
      </c>
      <c r="D151" s="4">
        <v>3792.676513671875</v>
      </c>
      <c r="E151" s="10">
        <f t="shared" si="10"/>
        <v>3784.7569581077137</v>
      </c>
      <c r="F151" s="10">
        <f t="shared" si="11"/>
        <v>17635.762376645504</v>
      </c>
      <c r="G151" s="12">
        <f t="shared" si="12"/>
        <v>8.238736951949301</v>
      </c>
      <c r="H151" s="12">
        <f t="shared" si="13"/>
        <v>9.7776840726200742</v>
      </c>
    </row>
    <row r="152" spans="1:8" x14ac:dyDescent="0.3">
      <c r="A152" t="s">
        <v>154</v>
      </c>
      <c r="B152" s="4">
        <v>8418.677734375</v>
      </c>
      <c r="C152" s="3">
        <v>0.581372</v>
      </c>
      <c r="D152" s="4">
        <v>63765.55859375</v>
      </c>
      <c r="E152" s="10">
        <f t="shared" si="10"/>
        <v>14480.707248328094</v>
      </c>
      <c r="F152" s="10">
        <f t="shared" si="11"/>
        <v>109681.16557685957</v>
      </c>
      <c r="G152" s="12">
        <f t="shared" si="12"/>
        <v>9.5805725078635025</v>
      </c>
      <c r="H152" s="12">
        <f t="shared" si="13"/>
        <v>11.605332941248106</v>
      </c>
    </row>
    <row r="153" spans="1:8" x14ac:dyDescent="0.3">
      <c r="A153" t="s">
        <v>155</v>
      </c>
      <c r="B153" s="4">
        <v>149921.4375</v>
      </c>
      <c r="C153" s="3">
        <v>5.4570129999999999</v>
      </c>
      <c r="D153" s="4">
        <v>777340.4375</v>
      </c>
      <c r="E153" s="10">
        <f t="shared" si="10"/>
        <v>27473.168471469649</v>
      </c>
      <c r="F153" s="10">
        <f t="shared" si="11"/>
        <v>142447.97245306178</v>
      </c>
      <c r="G153" s="12">
        <f t="shared" si="12"/>
        <v>10.220965115410879</v>
      </c>
      <c r="H153" s="12">
        <f t="shared" si="13"/>
        <v>11.866732106431019</v>
      </c>
    </row>
    <row r="154" spans="1:8" x14ac:dyDescent="0.3">
      <c r="A154" t="s">
        <v>156</v>
      </c>
      <c r="B154" s="4">
        <v>70868.515625</v>
      </c>
      <c r="C154" s="3">
        <v>2.0786539999999998</v>
      </c>
      <c r="D154" s="4">
        <v>493944.90625</v>
      </c>
      <c r="E154" s="10">
        <f t="shared" si="10"/>
        <v>34093.46414795344</v>
      </c>
      <c r="F154" s="10">
        <f t="shared" si="11"/>
        <v>237627.28489205037</v>
      </c>
      <c r="G154" s="12">
        <f t="shared" si="12"/>
        <v>10.436860977685658</v>
      </c>
      <c r="H154" s="12">
        <f t="shared" si="13"/>
        <v>12.378458695281799</v>
      </c>
    </row>
    <row r="155" spans="1:8" x14ac:dyDescent="0.3">
      <c r="A155" t="s">
        <v>157</v>
      </c>
      <c r="B155" s="4">
        <v>526240.8125</v>
      </c>
      <c r="C155" s="3">
        <v>10.036379</v>
      </c>
      <c r="D155" s="4">
        <v>2743785</v>
      </c>
      <c r="E155" s="10">
        <f t="shared" si="10"/>
        <v>52433.334024153533</v>
      </c>
      <c r="F155" s="10">
        <f t="shared" si="11"/>
        <v>273383.95650463179</v>
      </c>
      <c r="G155" s="12">
        <f t="shared" si="12"/>
        <v>10.867297813553471</v>
      </c>
      <c r="H155" s="12">
        <f t="shared" si="13"/>
        <v>12.518632520147941</v>
      </c>
    </row>
    <row r="156" spans="1:8" x14ac:dyDescent="0.3">
      <c r="A156" t="s">
        <v>158</v>
      </c>
      <c r="B156" s="4">
        <v>8987.3583984375</v>
      </c>
      <c r="C156" s="3">
        <v>1.1481299999999999</v>
      </c>
      <c r="D156" s="4">
        <v>31638.86328125</v>
      </c>
      <c r="E156" s="10">
        <f t="shared" si="10"/>
        <v>7827.8229803571903</v>
      </c>
      <c r="F156" s="10">
        <f t="shared" si="11"/>
        <v>27556.864885727227</v>
      </c>
      <c r="G156" s="12">
        <f t="shared" si="12"/>
        <v>8.9654397146114739</v>
      </c>
      <c r="H156" s="12">
        <f t="shared" si="13"/>
        <v>10.224006962696345</v>
      </c>
    </row>
    <row r="157" spans="1:8" x14ac:dyDescent="0.3">
      <c r="A157" t="s">
        <v>159</v>
      </c>
      <c r="B157" s="4">
        <v>2715.49853515625</v>
      </c>
      <c r="C157" s="3">
        <v>9.7738999999999993E-2</v>
      </c>
      <c r="D157" s="4">
        <v>17765.373046875</v>
      </c>
      <c r="E157" s="10">
        <f t="shared" si="10"/>
        <v>27783.162659289028</v>
      </c>
      <c r="F157" s="10">
        <f t="shared" si="11"/>
        <v>181763.40096455868</v>
      </c>
      <c r="G157" s="12">
        <f t="shared" si="12"/>
        <v>10.232185456454975</v>
      </c>
      <c r="H157" s="12">
        <f t="shared" si="13"/>
        <v>12.110461125632556</v>
      </c>
    </row>
    <row r="158" spans="1:8" x14ac:dyDescent="0.3">
      <c r="A158" t="s">
        <v>160</v>
      </c>
      <c r="B158" s="4">
        <v>123085.0078125</v>
      </c>
      <c r="C158" s="3">
        <v>17.070135000000001</v>
      </c>
      <c r="D158" s="4">
        <v>407660.3125</v>
      </c>
      <c r="E158" s="10">
        <f t="shared" si="10"/>
        <v>7210.5468300338571</v>
      </c>
      <c r="F158" s="10">
        <f t="shared" si="11"/>
        <v>23881.493175068619</v>
      </c>
      <c r="G158" s="12">
        <f t="shared" si="12"/>
        <v>8.8833000706809671</v>
      </c>
      <c r="H158" s="12">
        <f t="shared" si="13"/>
        <v>10.080859093820933</v>
      </c>
    </row>
    <row r="159" spans="1:8" x14ac:dyDescent="0.3">
      <c r="A159" t="s">
        <v>161</v>
      </c>
      <c r="B159" s="4">
        <v>611.12371826171875</v>
      </c>
      <c r="C159" s="3">
        <v>3.8190999999999996E-2</v>
      </c>
      <c r="D159" s="4">
        <v>4022.577880859375</v>
      </c>
      <c r="E159" s="10">
        <f t="shared" si="10"/>
        <v>16001.773147121543</v>
      </c>
      <c r="F159" s="10">
        <f t="shared" si="11"/>
        <v>105327.90136051361</v>
      </c>
      <c r="G159" s="12">
        <f t="shared" si="12"/>
        <v>9.680454816776745</v>
      </c>
      <c r="H159" s="12">
        <f t="shared" si="13"/>
        <v>11.564833633208982</v>
      </c>
    </row>
    <row r="160" spans="1:8" x14ac:dyDescent="0.3">
      <c r="A160" t="s">
        <v>162</v>
      </c>
      <c r="B160" s="4">
        <v>25755.51953125</v>
      </c>
      <c r="C160" s="3">
        <v>15.946876</v>
      </c>
      <c r="D160" s="4">
        <v>47048.18359375</v>
      </c>
      <c r="E160" s="10">
        <f t="shared" si="10"/>
        <v>1615.082448201767</v>
      </c>
      <c r="F160" s="10">
        <f t="shared" si="11"/>
        <v>2950.3072321970776</v>
      </c>
      <c r="G160" s="12">
        <f t="shared" si="12"/>
        <v>7.3871412858717944</v>
      </c>
      <c r="H160" s="12">
        <f t="shared" si="13"/>
        <v>7.9896645904184789</v>
      </c>
    </row>
    <row r="161" spans="1:8" x14ac:dyDescent="0.3">
      <c r="A161" t="s">
        <v>163</v>
      </c>
      <c r="B161" s="4">
        <v>18065.919921875</v>
      </c>
      <c r="C161" s="3">
        <v>8.0823660000000004</v>
      </c>
      <c r="D161" s="4">
        <v>47682.11328125</v>
      </c>
      <c r="E161" s="10">
        <f t="shared" si="10"/>
        <v>2235.2266553970703</v>
      </c>
      <c r="F161" s="10">
        <f t="shared" si="11"/>
        <v>5899.5241345479772</v>
      </c>
      <c r="G161" s="12">
        <f t="shared" si="12"/>
        <v>7.712097913716609</v>
      </c>
      <c r="H161" s="12">
        <f t="shared" si="13"/>
        <v>8.6826269714796478</v>
      </c>
    </row>
    <row r="162" spans="1:8" x14ac:dyDescent="0.3">
      <c r="A162" t="s">
        <v>164</v>
      </c>
      <c r="B162" s="4">
        <v>1191732.875</v>
      </c>
      <c r="C162" s="3">
        <v>69.625581999999994</v>
      </c>
      <c r="D162" s="4">
        <v>5630091.5</v>
      </c>
      <c r="E162" s="10">
        <f t="shared" si="10"/>
        <v>17116.30755201443</v>
      </c>
      <c r="F162" s="10">
        <f t="shared" si="11"/>
        <v>80862.397674463966</v>
      </c>
      <c r="G162" s="12">
        <f t="shared" si="12"/>
        <v>9.747786946060387</v>
      </c>
      <c r="H162" s="12">
        <f t="shared" si="13"/>
        <v>11.300504194925118</v>
      </c>
    </row>
    <row r="163" spans="1:8" x14ac:dyDescent="0.3">
      <c r="A163" t="s">
        <v>165</v>
      </c>
      <c r="B163" s="4">
        <v>36293.75</v>
      </c>
      <c r="C163" s="3">
        <v>9.3210179999999987</v>
      </c>
      <c r="D163" s="4">
        <v>357036.71875</v>
      </c>
      <c r="E163" s="10">
        <f t="shared" si="10"/>
        <v>3893.7538796728004</v>
      </c>
      <c r="F163" s="10">
        <f t="shared" si="11"/>
        <v>38304.476909067234</v>
      </c>
      <c r="G163" s="12">
        <f t="shared" si="12"/>
        <v>8.2671289789199349</v>
      </c>
      <c r="H163" s="12">
        <f t="shared" si="13"/>
        <v>10.553322058913734</v>
      </c>
    </row>
    <row r="164" spans="1:8" x14ac:dyDescent="0.3">
      <c r="A164" t="s">
        <v>166</v>
      </c>
      <c r="B164" s="4">
        <v>154648.984375</v>
      </c>
      <c r="C164" s="3">
        <v>5.9420889999999993</v>
      </c>
      <c r="D164" s="4">
        <v>703502.75</v>
      </c>
      <c r="E164" s="10">
        <f t="shared" si="10"/>
        <v>26026.029629478795</v>
      </c>
      <c r="F164" s="10">
        <f t="shared" si="11"/>
        <v>118393.16947289078</v>
      </c>
      <c r="G164" s="12">
        <f t="shared" si="12"/>
        <v>10.166852455792936</v>
      </c>
      <c r="H164" s="12">
        <f t="shared" si="13"/>
        <v>11.681766309505148</v>
      </c>
    </row>
    <row r="165" spans="1:8" x14ac:dyDescent="0.3">
      <c r="A165" t="s">
        <v>167</v>
      </c>
      <c r="B165" s="4">
        <v>39956.8359375</v>
      </c>
      <c r="C165" s="3">
        <v>1.394973</v>
      </c>
      <c r="D165" s="4">
        <v>78186.59375</v>
      </c>
      <c r="E165" s="10">
        <f t="shared" si="10"/>
        <v>28643.447534468407</v>
      </c>
      <c r="F165" s="10">
        <f t="shared" si="11"/>
        <v>56048.822271112054</v>
      </c>
      <c r="G165" s="12">
        <f t="shared" si="12"/>
        <v>10.262679988636974</v>
      </c>
      <c r="H165" s="12">
        <f t="shared" si="13"/>
        <v>10.933978416167363</v>
      </c>
    </row>
    <row r="166" spans="1:8" x14ac:dyDescent="0.3">
      <c r="A166" t="s">
        <v>168</v>
      </c>
      <c r="B166" s="4">
        <v>129698.921875</v>
      </c>
      <c r="C166" s="3">
        <v>11.694718999999999</v>
      </c>
      <c r="D166" s="4">
        <v>351555.28125</v>
      </c>
      <c r="E166" s="10">
        <f t="shared" si="10"/>
        <v>11090.38377707066</v>
      </c>
      <c r="F166" s="10">
        <f t="shared" si="11"/>
        <v>30061.028507824773</v>
      </c>
      <c r="G166" s="12">
        <f t="shared" si="12"/>
        <v>9.3138336854328152</v>
      </c>
      <c r="H166" s="12">
        <f t="shared" si="13"/>
        <v>10.310984877885472</v>
      </c>
    </row>
    <row r="167" spans="1:8" x14ac:dyDescent="0.3">
      <c r="A167" t="s">
        <v>169</v>
      </c>
      <c r="B167" s="4">
        <v>2248225.75</v>
      </c>
      <c r="C167" s="3">
        <v>83.429614999999998</v>
      </c>
      <c r="D167" s="4">
        <v>10235725</v>
      </c>
      <c r="E167" s="10">
        <f t="shared" si="10"/>
        <v>26947.574311591874</v>
      </c>
      <c r="F167" s="10">
        <f t="shared" si="11"/>
        <v>122686.94995176473</v>
      </c>
      <c r="G167" s="12">
        <f t="shared" si="12"/>
        <v>10.201648565295246</v>
      </c>
      <c r="H167" s="12">
        <f t="shared" si="13"/>
        <v>11.717391267681327</v>
      </c>
    </row>
    <row r="168" spans="1:8" x14ac:dyDescent="0.3">
      <c r="A168" t="s">
        <v>170</v>
      </c>
      <c r="B168" s="4">
        <v>1103379.75</v>
      </c>
      <c r="C168" s="3">
        <v>23.596026999999999</v>
      </c>
      <c r="D168" s="4">
        <v>4258739.5</v>
      </c>
      <c r="E168" s="10">
        <f t="shared" si="10"/>
        <v>46761.251375072592</v>
      </c>
      <c r="F168" s="10">
        <f t="shared" si="11"/>
        <v>180485.44782560217</v>
      </c>
      <c r="G168" s="12">
        <f t="shared" si="12"/>
        <v>10.752810176884731</v>
      </c>
      <c r="H168" s="12">
        <f t="shared" si="13"/>
        <v>12.10340543204018</v>
      </c>
    </row>
    <row r="169" spans="1:8" x14ac:dyDescent="0.3">
      <c r="A169" t="s">
        <v>171</v>
      </c>
      <c r="B169" s="4">
        <v>132986.65625</v>
      </c>
      <c r="C169" s="3">
        <v>56.379874000000001</v>
      </c>
      <c r="D169" s="4">
        <v>397482.65625</v>
      </c>
      <c r="E169" s="10">
        <f t="shared" si="10"/>
        <v>2358.7611467524739</v>
      </c>
      <c r="F169" s="10">
        <f t="shared" si="11"/>
        <v>7050.0806058913859</v>
      </c>
      <c r="G169" s="12">
        <f t="shared" si="12"/>
        <v>7.7658918223748152</v>
      </c>
      <c r="H169" s="12">
        <f t="shared" si="13"/>
        <v>8.8607943292007239</v>
      </c>
    </row>
    <row r="170" spans="1:8" x14ac:dyDescent="0.3">
      <c r="A170" t="s">
        <v>172</v>
      </c>
      <c r="B170" s="4">
        <v>92618.59375</v>
      </c>
      <c r="C170" s="3">
        <v>44.269593999999998</v>
      </c>
      <c r="D170" s="4">
        <v>182602.984375</v>
      </c>
      <c r="E170" s="10">
        <f t="shared" si="10"/>
        <v>2092.1491565971896</v>
      </c>
      <c r="F170" s="10">
        <f t="shared" si="11"/>
        <v>4124.7946474277587</v>
      </c>
      <c r="G170" s="12">
        <f t="shared" si="12"/>
        <v>7.6459471212078141</v>
      </c>
      <c r="H170" s="12">
        <f t="shared" si="13"/>
        <v>8.3247715150878392</v>
      </c>
    </row>
    <row r="171" spans="1:8" x14ac:dyDescent="0.3">
      <c r="A171" t="s">
        <v>173</v>
      </c>
      <c r="B171" s="4">
        <v>578290.5</v>
      </c>
      <c r="C171" s="3">
        <v>43.993637999999997</v>
      </c>
      <c r="D171" s="4">
        <v>7085838</v>
      </c>
      <c r="E171" s="10">
        <f t="shared" si="10"/>
        <v>13144.866537293416</v>
      </c>
      <c r="F171" s="10">
        <f t="shared" si="11"/>
        <v>161065.06127090467</v>
      </c>
      <c r="G171" s="12">
        <f t="shared" si="12"/>
        <v>9.4837865839966842</v>
      </c>
      <c r="H171" s="12">
        <f t="shared" si="13"/>
        <v>11.989563669609947</v>
      </c>
    </row>
    <row r="172" spans="1:8" x14ac:dyDescent="0.3">
      <c r="A172" t="s">
        <v>174</v>
      </c>
      <c r="B172" s="4">
        <v>71122.7890625</v>
      </c>
      <c r="C172" s="3">
        <v>3.4617339999999999</v>
      </c>
      <c r="D172" s="4">
        <v>318946.09375</v>
      </c>
      <c r="E172" s="10">
        <f t="shared" si="10"/>
        <v>20545.42291883201</v>
      </c>
      <c r="F172" s="10">
        <f t="shared" si="11"/>
        <v>92134.778047648957</v>
      </c>
      <c r="G172" s="12">
        <f t="shared" si="12"/>
        <v>9.9303934661059827</v>
      </c>
      <c r="H172" s="12">
        <f t="shared" si="13"/>
        <v>11.431007762775437</v>
      </c>
    </row>
    <row r="173" spans="1:8" x14ac:dyDescent="0.3">
      <c r="A173" t="s">
        <v>175</v>
      </c>
      <c r="B173" s="4">
        <v>20595844</v>
      </c>
      <c r="C173" s="3">
        <v>329.06491699999998</v>
      </c>
      <c r="D173" s="4">
        <v>69059096</v>
      </c>
      <c r="E173" s="10">
        <f t="shared" si="10"/>
        <v>62588.999726154339</v>
      </c>
      <c r="F173" s="10">
        <f t="shared" si="11"/>
        <v>209864.65719163857</v>
      </c>
      <c r="G173" s="12">
        <f t="shared" si="12"/>
        <v>11.044344818422683</v>
      </c>
      <c r="H173" s="12">
        <f t="shared" si="13"/>
        <v>12.254218112363304</v>
      </c>
    </row>
    <row r="174" spans="1:8" x14ac:dyDescent="0.3">
      <c r="A174" t="s">
        <v>176</v>
      </c>
      <c r="B174" s="4">
        <v>414768.46875</v>
      </c>
      <c r="C174" s="3">
        <v>32.981715999999999</v>
      </c>
      <c r="D174" s="4">
        <v>1162961.375</v>
      </c>
      <c r="E174" s="10">
        <f t="shared" si="10"/>
        <v>12575.709182323928</v>
      </c>
      <c r="F174" s="10">
        <f t="shared" si="11"/>
        <v>35260.79040277953</v>
      </c>
      <c r="G174" s="12">
        <f t="shared" si="12"/>
        <v>9.4395223895863953</v>
      </c>
      <c r="H174" s="12">
        <f t="shared" si="13"/>
        <v>10.470526872115238</v>
      </c>
    </row>
    <row r="175" spans="1:8" x14ac:dyDescent="0.3">
      <c r="A175" t="s">
        <v>177</v>
      </c>
      <c r="B175" s="4">
        <v>1227.71435546875</v>
      </c>
      <c r="C175" s="3">
        <v>0.11058899999999999</v>
      </c>
      <c r="D175" s="4">
        <v>9191.97265625</v>
      </c>
      <c r="E175" s="10">
        <f t="shared" si="10"/>
        <v>11101.595596928719</v>
      </c>
      <c r="F175" s="10">
        <f t="shared" si="11"/>
        <v>83118.326924468085</v>
      </c>
      <c r="G175" s="12">
        <f t="shared" si="12"/>
        <v>9.3148441244408033</v>
      </c>
      <c r="H175" s="12">
        <f t="shared" si="13"/>
        <v>11.328020497135352</v>
      </c>
    </row>
    <row r="176" spans="1:8" x14ac:dyDescent="0.3">
      <c r="A176" t="s">
        <v>178</v>
      </c>
      <c r="B176" s="4">
        <v>7160.10693359375</v>
      </c>
      <c r="C176" s="3">
        <v>28.515829</v>
      </c>
      <c r="D176" s="4">
        <v>217905.109375</v>
      </c>
      <c r="E176" s="10">
        <f t="shared" si="10"/>
        <v>251.09236465100665</v>
      </c>
      <c r="F176" s="10">
        <f t="shared" si="11"/>
        <v>7641.5491681830463</v>
      </c>
      <c r="G176" s="12">
        <f t="shared" si="12"/>
        <v>5.5258208580986965</v>
      </c>
      <c r="H176" s="12">
        <f t="shared" si="13"/>
        <v>8.9413556323099534</v>
      </c>
    </row>
    <row r="177" spans="1:8" x14ac:dyDescent="0.3">
      <c r="A177" t="s">
        <v>179</v>
      </c>
      <c r="B177" s="4">
        <v>1122.182373046875</v>
      </c>
      <c r="C177" s="3">
        <v>3.0029999999999998E-2</v>
      </c>
      <c r="D177" s="4">
        <v>4316.72119140625</v>
      </c>
      <c r="E177" s="10">
        <f t="shared" si="10"/>
        <v>37368.710391171335</v>
      </c>
      <c r="F177" s="10">
        <f t="shared" si="11"/>
        <v>143746.95942078755</v>
      </c>
      <c r="G177" s="12">
        <f t="shared" si="12"/>
        <v>10.528589012683414</v>
      </c>
      <c r="H177" s="12">
        <f t="shared" si="13"/>
        <v>11.875809806580502</v>
      </c>
    </row>
    <row r="178" spans="1:8" x14ac:dyDescent="0.3">
      <c r="A178" t="s">
        <v>180</v>
      </c>
      <c r="B178" s="4">
        <v>724123.375</v>
      </c>
      <c r="C178" s="3">
        <v>96.462105999999991</v>
      </c>
      <c r="D178" s="4">
        <v>2009263.625</v>
      </c>
      <c r="E178" s="10">
        <f t="shared" si="10"/>
        <v>7506.8169774356793</v>
      </c>
      <c r="F178" s="10">
        <f t="shared" si="11"/>
        <v>20829.564150299604</v>
      </c>
      <c r="G178" s="12">
        <f t="shared" si="12"/>
        <v>8.9235668170221256</v>
      </c>
      <c r="H178" s="12">
        <f t="shared" si="13"/>
        <v>9.9441286099026254</v>
      </c>
    </row>
    <row r="179" spans="1:8" x14ac:dyDescent="0.3">
      <c r="A179" t="s">
        <v>181</v>
      </c>
      <c r="B179" s="4">
        <v>51828.05859375</v>
      </c>
      <c r="C179" s="3">
        <v>29.161921999999997</v>
      </c>
      <c r="D179" s="4">
        <v>548553.3125</v>
      </c>
      <c r="E179" s="10">
        <f t="shared" si="10"/>
        <v>1777.2511219853754</v>
      </c>
      <c r="F179" s="10">
        <f t="shared" si="11"/>
        <v>18810.602144124798</v>
      </c>
      <c r="G179" s="12">
        <f t="shared" si="12"/>
        <v>7.4828231361135851</v>
      </c>
      <c r="H179" s="12">
        <f t="shared" si="13"/>
        <v>9.8421759336979004</v>
      </c>
    </row>
    <row r="180" spans="1:8" x14ac:dyDescent="0.3">
      <c r="A180" t="s">
        <v>182</v>
      </c>
      <c r="B180" s="4">
        <v>734094.375</v>
      </c>
      <c r="C180" s="3">
        <v>58.55827</v>
      </c>
      <c r="D180" s="4">
        <v>2897706.25</v>
      </c>
      <c r="E180" s="10">
        <f t="shared" si="10"/>
        <v>12536.13494729267</v>
      </c>
      <c r="F180" s="10">
        <f t="shared" si="11"/>
        <v>49484.150573437364</v>
      </c>
      <c r="G180" s="12">
        <f t="shared" si="12"/>
        <v>9.4363705487587612</v>
      </c>
      <c r="H180" s="12">
        <f t="shared" si="13"/>
        <v>10.809407706849271</v>
      </c>
    </row>
    <row r="181" spans="1:8" x14ac:dyDescent="0.3">
      <c r="A181" t="s">
        <v>183</v>
      </c>
      <c r="B181" s="4">
        <v>56783.71484375</v>
      </c>
      <c r="C181" s="3">
        <v>17.86103</v>
      </c>
      <c r="D181" s="4">
        <v>303724.21875</v>
      </c>
      <c r="E181" s="10">
        <f t="shared" si="10"/>
        <v>3179.1959838682315</v>
      </c>
      <c r="F181" s="10">
        <f t="shared" si="11"/>
        <v>17004.854633243434</v>
      </c>
      <c r="G181" s="12">
        <f t="shared" si="12"/>
        <v>8.0643836085444374</v>
      </c>
      <c r="H181" s="12">
        <f t="shared" si="13"/>
        <v>9.7412541489333329</v>
      </c>
    </row>
    <row r="182" spans="1:8" x14ac:dyDescent="0.3">
      <c r="A182" t="s">
        <v>184</v>
      </c>
      <c r="B182" s="4">
        <v>40826.5703125</v>
      </c>
      <c r="C182" s="3">
        <v>14.645467999999999</v>
      </c>
      <c r="D182" s="4">
        <v>69588.2421875</v>
      </c>
      <c r="E182" s="10">
        <f t="shared" si="10"/>
        <v>2787.6589749470622</v>
      </c>
      <c r="F182" s="10">
        <f t="shared" si="11"/>
        <v>4751.5205514429454</v>
      </c>
      <c r="G182" s="12">
        <f t="shared" si="12"/>
        <v>7.9329574455132912</v>
      </c>
      <c r="H182" s="12">
        <f t="shared" si="13"/>
        <v>8.4662199618957139</v>
      </c>
    </row>
  </sheetData>
  <mergeCells count="10">
    <mergeCell ref="H1:H2"/>
    <mergeCell ref="K12:L12"/>
    <mergeCell ref="M12:N12"/>
    <mergeCell ref="O12:P12"/>
    <mergeCell ref="Q12:R12"/>
    <mergeCell ref="A1:A2"/>
    <mergeCell ref="B1:D1"/>
    <mergeCell ref="E1:E2"/>
    <mergeCell ref="F1:F2"/>
    <mergeCell ref="G1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NEDL_Functional_forms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Savva Shanaev</dc:creator>
  <cp:lastModifiedBy>Savva Shanaev</cp:lastModifiedBy>
  <dcterms:created xsi:type="dcterms:W3CDTF">2023-09-06T13:24:03Z</dcterms:created>
  <dcterms:modified xsi:type="dcterms:W3CDTF">2023-09-06T13:41:15Z</dcterms:modified>
</cp:coreProperties>
</file>